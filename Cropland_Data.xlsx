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Kenya_Project/Agricentric_SOC_Modeling/"/>
    </mc:Choice>
  </mc:AlternateContent>
  <xr:revisionPtr revIDLastSave="0" documentId="13_ncr:1_{0F77BF92-C2F5-214D-A615-7D0C4378CFF2}" xr6:coauthVersionLast="47" xr6:coauthVersionMax="47" xr10:uidLastSave="{00000000-0000-0000-0000-000000000000}"/>
  <bookViews>
    <workbookView xWindow="0" yWindow="720" windowWidth="29400" windowHeight="18400" activeTab="4" xr2:uid="{55781C5C-DD9E-4741-90FA-EC780B587BCA}"/>
  </bookViews>
  <sheets>
    <sheet name="Eor" sheetId="3" r:id="rId1"/>
    <sheet name="Lanyuak" sheetId="2" r:id="rId2"/>
    <sheet name="Mumberes" sheetId="1" r:id="rId3"/>
    <sheet name="Kabianga" sheetId="4" r:id="rId4"/>
    <sheet name="Kipsig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E5" i="4"/>
  <c r="J9" i="3"/>
  <c r="H17" i="2"/>
  <c r="H9" i="2"/>
  <c r="H10" i="2"/>
  <c r="H11" i="2"/>
  <c r="H8" i="2"/>
  <c r="J9" i="1"/>
  <c r="J8" i="1"/>
  <c r="G8" i="1"/>
  <c r="F8" i="1"/>
  <c r="J11" i="1"/>
  <c r="G11" i="3"/>
  <c r="G9" i="3"/>
  <c r="F11" i="3"/>
  <c r="F9" i="3"/>
  <c r="G9" i="1"/>
  <c r="C9" i="1"/>
  <c r="E9" i="2"/>
  <c r="E10" i="2"/>
  <c r="E11" i="2"/>
  <c r="E12" i="2"/>
  <c r="E13" i="2"/>
  <c r="E14" i="2"/>
  <c r="E15" i="2"/>
  <c r="E8" i="2"/>
  <c r="F9" i="1"/>
</calcChain>
</file>

<file path=xl/sharedStrings.xml><?xml version="1.0" encoding="utf-8"?>
<sst xmlns="http://schemas.openxmlformats.org/spreadsheetml/2006/main" count="82" uniqueCount="51">
  <si>
    <t>Cropland</t>
  </si>
  <si>
    <t>Grassland</t>
  </si>
  <si>
    <t>Area (ha)</t>
  </si>
  <si>
    <t>Maize</t>
  </si>
  <si>
    <t>Potatos</t>
  </si>
  <si>
    <t>Vegetables</t>
  </si>
  <si>
    <t>Crop</t>
  </si>
  <si>
    <t>Percentage</t>
  </si>
  <si>
    <t>Yield (kg per bag)</t>
  </si>
  <si>
    <t>Yield (bags per acre)</t>
  </si>
  <si>
    <t>Yield (t/ha)</t>
  </si>
  <si>
    <t>Yield (kg/ac)</t>
  </si>
  <si>
    <t>excluded, yields not yet available</t>
  </si>
  <si>
    <t>Wheat</t>
  </si>
  <si>
    <t>Barley</t>
  </si>
  <si>
    <t>Carrots</t>
  </si>
  <si>
    <t>Cabbage</t>
  </si>
  <si>
    <t>Peas</t>
  </si>
  <si>
    <t>Canola</t>
  </si>
  <si>
    <t>Potatoes</t>
  </si>
  <si>
    <t>Yield (t/acre)</t>
  </si>
  <si>
    <t>Data from Mumberes Co-operative lead: CPA Kosgei</t>
  </si>
  <si>
    <t>bags/acre</t>
  </si>
  <si>
    <t>kg/bag</t>
  </si>
  <si>
    <t>Potato</t>
  </si>
  <si>
    <t>All</t>
  </si>
  <si>
    <t>Anm</t>
  </si>
  <si>
    <t>Soil Type</t>
  </si>
  <si>
    <t>Ntu</t>
  </si>
  <si>
    <t>Beans, etc.</t>
  </si>
  <si>
    <t>Yield (kg/acre)</t>
  </si>
  <si>
    <t>Tea</t>
  </si>
  <si>
    <t>Napier</t>
  </si>
  <si>
    <t>Eucalyptus (not included)</t>
  </si>
  <si>
    <t>Area:</t>
  </si>
  <si>
    <t>NPK (kg/ac)</t>
  </si>
  <si>
    <t>NPK (t/ha)</t>
  </si>
  <si>
    <t>Net usage</t>
  </si>
  <si>
    <t>(t/ha)</t>
  </si>
  <si>
    <t xml:space="preserve"> (kg/ha)</t>
  </si>
  <si>
    <t>Avg (t/ha)</t>
  </si>
  <si>
    <t>kg/ha</t>
  </si>
  <si>
    <t>Synth Fertilizer: DAP</t>
  </si>
  <si>
    <t>Synth Fertilizer: Blend, NPK</t>
  </si>
  <si>
    <t>t/ha</t>
  </si>
  <si>
    <t>Proportion:</t>
  </si>
  <si>
    <t>Synthetic Fertilizer</t>
  </si>
  <si>
    <t>Manure (t/ha) rough</t>
  </si>
  <si>
    <t>Synthetic Fertilizer (CAN)</t>
  </si>
  <si>
    <t>(kg/ha)</t>
  </si>
  <si>
    <t>NPK (kg/ha)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</si>
</sst>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M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1" applyFont="1"/>
    <xf numFmtId="9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2" fillId="0" borderId="3" xfId="0" applyFont="1" applyBorder="1"/>
    <xf numFmtId="0" fontId="3" fillId="0" borderId="3" xfId="0" applyFont="1" applyBorder="1"/>
    <xf numFmtId="9" fontId="2" fillId="0" borderId="0" xfId="0" applyNumberFormat="1" applyFon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4D8C-73DA-F04F-89DA-2D56E50B5786}">
  <dimension ref="A3:J15"/>
  <sheetViews>
    <sheetView zoomScale="217" workbookViewId="0">
      <selection activeCell="C12" sqref="C12"/>
    </sheetView>
  </sheetViews>
  <sheetFormatPr baseColWidth="10" defaultRowHeight="16"/>
  <cols>
    <col min="4" max="4" width="15.83203125" customWidth="1"/>
    <col min="6" max="6" width="13.83203125" customWidth="1"/>
  </cols>
  <sheetData>
    <row r="3" spans="1:10">
      <c r="B3" s="4" t="s">
        <v>2</v>
      </c>
      <c r="C3">
        <v>4636</v>
      </c>
    </row>
    <row r="5" spans="1:10">
      <c r="B5" s="4" t="s">
        <v>0</v>
      </c>
      <c r="C5" s="1">
        <v>0.9</v>
      </c>
    </row>
    <row r="6" spans="1:10">
      <c r="B6" s="4" t="s">
        <v>1</v>
      </c>
      <c r="C6" s="1">
        <v>0.1</v>
      </c>
    </row>
    <row r="7" spans="1:10">
      <c r="I7" s="4" t="s">
        <v>42</v>
      </c>
    </row>
    <row r="8" spans="1:10">
      <c r="B8" s="4" t="s">
        <v>6</v>
      </c>
      <c r="C8" s="4" t="s">
        <v>7</v>
      </c>
      <c r="D8" s="4" t="s">
        <v>22</v>
      </c>
      <c r="E8" s="4" t="s">
        <v>23</v>
      </c>
      <c r="F8" s="4" t="s">
        <v>30</v>
      </c>
      <c r="G8" s="4" t="s">
        <v>10</v>
      </c>
      <c r="I8" s="4" t="s">
        <v>41</v>
      </c>
      <c r="J8" s="4" t="s">
        <v>44</v>
      </c>
    </row>
    <row r="9" spans="1:10">
      <c r="B9" s="5" t="s">
        <v>3</v>
      </c>
      <c r="C9">
        <v>0.4</v>
      </c>
      <c r="D9">
        <v>13</v>
      </c>
      <c r="E9">
        <v>90</v>
      </c>
      <c r="F9">
        <f>D9*E9</f>
        <v>1170</v>
      </c>
      <c r="G9">
        <f>F9*0.00247105</f>
        <v>2.8911284999999998</v>
      </c>
      <c r="I9">
        <v>200</v>
      </c>
      <c r="J9">
        <f>I9/1000</f>
        <v>0.2</v>
      </c>
    </row>
    <row r="10" spans="1:10">
      <c r="B10" s="5" t="s">
        <v>29</v>
      </c>
      <c r="C10">
        <v>0.05</v>
      </c>
      <c r="D10">
        <v>7</v>
      </c>
    </row>
    <row r="11" spans="1:10">
      <c r="B11" s="5" t="s">
        <v>24</v>
      </c>
      <c r="C11">
        <v>0.55000000000000004</v>
      </c>
      <c r="D11">
        <v>25</v>
      </c>
      <c r="E11">
        <v>110</v>
      </c>
      <c r="F11">
        <f t="shared" ref="F11" si="0">D11*E11</f>
        <v>2750</v>
      </c>
      <c r="G11">
        <f t="shared" ref="G11" si="1">F11*0.00247105</f>
        <v>6.7953874999999995</v>
      </c>
    </row>
    <row r="14" spans="1:10">
      <c r="A14" s="4" t="s">
        <v>27</v>
      </c>
      <c r="B14" s="4" t="s">
        <v>2</v>
      </c>
    </row>
    <row r="15" spans="1:10">
      <c r="A15" t="s">
        <v>26</v>
      </c>
      <c r="B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E9CF-2D86-EC4C-AE3F-E3464696C19B}">
  <dimension ref="A2:H18"/>
  <sheetViews>
    <sheetView zoomScale="177" zoomScaleNormal="251" workbookViewId="0">
      <selection activeCell="C8" sqref="C8"/>
    </sheetView>
  </sheetViews>
  <sheetFormatPr baseColWidth="10" defaultRowHeight="16"/>
  <cols>
    <col min="4" max="4" width="14.83203125" customWidth="1"/>
    <col min="7" max="7" width="12.83203125" customWidth="1"/>
  </cols>
  <sheetData>
    <row r="2" spans="2:8">
      <c r="B2" s="4" t="s">
        <v>2</v>
      </c>
      <c r="C2">
        <v>4387</v>
      </c>
    </row>
    <row r="4" spans="2:8">
      <c r="B4" s="4" t="s">
        <v>0</v>
      </c>
      <c r="C4" s="1">
        <v>0.9</v>
      </c>
    </row>
    <row r="5" spans="2:8">
      <c r="B5" s="4" t="s">
        <v>1</v>
      </c>
      <c r="C5" s="1">
        <v>0.1</v>
      </c>
    </row>
    <row r="6" spans="2:8">
      <c r="G6" s="4" t="s">
        <v>43</v>
      </c>
    </row>
    <row r="7" spans="2:8">
      <c r="B7" s="4" t="s">
        <v>6</v>
      </c>
      <c r="C7" s="4" t="s">
        <v>7</v>
      </c>
      <c r="D7" s="4" t="s">
        <v>20</v>
      </c>
      <c r="E7" s="4" t="s">
        <v>10</v>
      </c>
      <c r="G7" s="4" t="s">
        <v>39</v>
      </c>
      <c r="H7" s="4" t="s">
        <v>38</v>
      </c>
    </row>
    <row r="8" spans="2:8">
      <c r="B8" s="4" t="s">
        <v>3</v>
      </c>
      <c r="C8" s="10">
        <v>0.2</v>
      </c>
      <c r="D8">
        <v>1.5</v>
      </c>
      <c r="E8">
        <f>D8*0.404686</f>
        <v>0.60702900000000004</v>
      </c>
      <c r="G8">
        <v>100</v>
      </c>
      <c r="H8">
        <f>G8/1000</f>
        <v>0.1</v>
      </c>
    </row>
    <row r="9" spans="2:8">
      <c r="B9" s="4" t="s">
        <v>4</v>
      </c>
      <c r="C9" s="10">
        <v>0.4</v>
      </c>
      <c r="D9">
        <v>50</v>
      </c>
      <c r="E9">
        <f t="shared" ref="E9:E15" si="0">D9*0.404686</f>
        <v>20.234300000000001</v>
      </c>
      <c r="G9">
        <v>500</v>
      </c>
      <c r="H9">
        <f t="shared" ref="H9:H11" si="1">G9/1000</f>
        <v>0.5</v>
      </c>
    </row>
    <row r="10" spans="2:8">
      <c r="B10" s="4" t="s">
        <v>13</v>
      </c>
      <c r="C10" s="10">
        <v>0.15</v>
      </c>
      <c r="D10">
        <v>1.3</v>
      </c>
      <c r="E10">
        <f t="shared" si="0"/>
        <v>0.5260918</v>
      </c>
      <c r="G10">
        <v>100</v>
      </c>
      <c r="H10">
        <f t="shared" si="1"/>
        <v>0.1</v>
      </c>
    </row>
    <row r="11" spans="2:8">
      <c r="B11" s="4" t="s">
        <v>14</v>
      </c>
      <c r="C11" s="10">
        <v>0.15</v>
      </c>
      <c r="D11">
        <v>1.3</v>
      </c>
      <c r="E11">
        <f t="shared" si="0"/>
        <v>0.5260918</v>
      </c>
      <c r="G11">
        <v>100</v>
      </c>
      <c r="H11">
        <f t="shared" si="1"/>
        <v>0.1</v>
      </c>
    </row>
    <row r="12" spans="2:8">
      <c r="B12" t="s">
        <v>15</v>
      </c>
      <c r="C12" s="2">
        <v>0.03</v>
      </c>
      <c r="D12">
        <v>10</v>
      </c>
      <c r="E12">
        <f t="shared" si="0"/>
        <v>4.0468599999999997</v>
      </c>
    </row>
    <row r="13" spans="2:8">
      <c r="B13" t="s">
        <v>16</v>
      </c>
      <c r="C13" s="2">
        <v>0.03</v>
      </c>
      <c r="D13">
        <v>5</v>
      </c>
      <c r="E13">
        <f t="shared" si="0"/>
        <v>2.0234299999999998</v>
      </c>
    </row>
    <row r="14" spans="2:8">
      <c r="B14" t="s">
        <v>17</v>
      </c>
      <c r="C14" s="2">
        <v>0.02</v>
      </c>
      <c r="D14">
        <v>3</v>
      </c>
      <c r="E14">
        <f t="shared" si="0"/>
        <v>1.2140580000000001</v>
      </c>
    </row>
    <row r="15" spans="2:8">
      <c r="B15" t="s">
        <v>18</v>
      </c>
      <c r="C15" s="2">
        <v>0.02</v>
      </c>
      <c r="D15">
        <v>2</v>
      </c>
      <c r="E15">
        <f t="shared" si="0"/>
        <v>0.80937199999999998</v>
      </c>
    </row>
    <row r="16" spans="2:8">
      <c r="C16" s="2"/>
    </row>
    <row r="17" spans="1:8">
      <c r="A17" s="4" t="s">
        <v>27</v>
      </c>
      <c r="B17" s="4" t="s">
        <v>2</v>
      </c>
      <c r="G17" s="4" t="s">
        <v>40</v>
      </c>
      <c r="H17">
        <f>H8*C8+H9*C9+H10*C10+H11*C11</f>
        <v>0.25000000000000006</v>
      </c>
    </row>
    <row r="18" spans="1:8">
      <c r="A18" t="s">
        <v>26</v>
      </c>
      <c r="B18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873-80E5-EB47-B07D-1B182938EEB5}">
  <dimension ref="A2:J19"/>
  <sheetViews>
    <sheetView zoomScale="183" zoomScaleNormal="150" workbookViewId="0">
      <selection activeCell="D12" sqref="D12"/>
    </sheetView>
  </sheetViews>
  <sheetFormatPr baseColWidth="10" defaultRowHeight="16"/>
  <cols>
    <col min="4" max="4" width="17" customWidth="1"/>
    <col min="5" max="5" width="19.6640625" customWidth="1"/>
    <col min="7" max="7" width="11.6640625" bestFit="1" customWidth="1"/>
  </cols>
  <sheetData>
    <row r="2" spans="1:10">
      <c r="B2" s="4" t="s">
        <v>2</v>
      </c>
      <c r="C2">
        <v>5120</v>
      </c>
    </row>
    <row r="4" spans="1:10">
      <c r="B4" s="4" t="s">
        <v>0</v>
      </c>
      <c r="C4" s="1">
        <v>0.7</v>
      </c>
    </row>
    <row r="5" spans="1:10">
      <c r="B5" s="4" t="s">
        <v>1</v>
      </c>
      <c r="C5" s="1">
        <v>0.3</v>
      </c>
    </row>
    <row r="7" spans="1:10">
      <c r="B7" s="4" t="s">
        <v>6</v>
      </c>
      <c r="C7" s="4" t="s">
        <v>7</v>
      </c>
      <c r="D7" s="4" t="s">
        <v>8</v>
      </c>
      <c r="E7" s="4" t="s">
        <v>9</v>
      </c>
      <c r="F7" s="4" t="s">
        <v>11</v>
      </c>
      <c r="G7" s="4" t="s">
        <v>10</v>
      </c>
      <c r="I7" s="4" t="s">
        <v>35</v>
      </c>
      <c r="J7" s="4" t="s">
        <v>36</v>
      </c>
    </row>
    <row r="8" spans="1:10">
      <c r="B8" t="s">
        <v>3</v>
      </c>
      <c r="C8" s="2">
        <v>0.6</v>
      </c>
      <c r="D8">
        <v>50</v>
      </c>
      <c r="E8">
        <v>60</v>
      </c>
      <c r="F8">
        <f>E8*D8</f>
        <v>3000</v>
      </c>
      <c r="G8" s="3">
        <f>F8/404.7</f>
        <v>7.4128984432913274</v>
      </c>
      <c r="I8">
        <v>75</v>
      </c>
      <c r="J8">
        <f>I8/404.7</f>
        <v>0.18532246108228317</v>
      </c>
    </row>
    <row r="9" spans="1:10">
      <c r="B9" t="s">
        <v>19</v>
      </c>
      <c r="C9" s="2">
        <f>1 - C8 - C10</f>
        <v>0.34</v>
      </c>
      <c r="D9">
        <v>90</v>
      </c>
      <c r="E9">
        <v>20</v>
      </c>
      <c r="F9">
        <f>E9*D9</f>
        <v>1800</v>
      </c>
      <c r="G9" s="3">
        <f>F9/404.7</f>
        <v>4.4477390659747966</v>
      </c>
      <c r="I9">
        <v>100</v>
      </c>
      <c r="J9">
        <f>I9/404.7</f>
        <v>0.24709661477637757</v>
      </c>
    </row>
    <row r="10" spans="1:10">
      <c r="B10" t="s">
        <v>5</v>
      </c>
      <c r="C10" s="2">
        <v>0.06</v>
      </c>
      <c r="D10" t="s">
        <v>12</v>
      </c>
    </row>
    <row r="11" spans="1:10">
      <c r="I11" t="s">
        <v>37</v>
      </c>
      <c r="J11">
        <f>J8*C8 +J9 * C9</f>
        <v>0.19520632567333829</v>
      </c>
    </row>
    <row r="13" spans="1:10">
      <c r="B13" t="s">
        <v>21</v>
      </c>
    </row>
    <row r="15" spans="1:10">
      <c r="B15" s="9"/>
      <c r="C15" s="8"/>
      <c r="D15" s="4"/>
    </row>
    <row r="16" spans="1:10">
      <c r="A16" s="7"/>
    </row>
    <row r="17" spans="1:3">
      <c r="A17" s="7"/>
    </row>
    <row r="18" spans="1:3">
      <c r="A18" s="7"/>
    </row>
    <row r="19" spans="1:3">
      <c r="B19" s="6"/>
      <c r="C1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8C36-D1AB-2C4E-9321-960CAD2347AA}">
  <dimension ref="A2:E18"/>
  <sheetViews>
    <sheetView zoomScale="150" workbookViewId="0">
      <selection activeCell="F9" sqref="F9"/>
    </sheetView>
  </sheetViews>
  <sheetFormatPr baseColWidth="10" defaultRowHeight="16"/>
  <sheetData>
    <row r="2" spans="1:5">
      <c r="A2" t="s">
        <v>34</v>
      </c>
      <c r="B2" s="11">
        <v>15358</v>
      </c>
    </row>
    <row r="3" spans="1:5">
      <c r="D3" s="4" t="s">
        <v>48</v>
      </c>
    </row>
    <row r="4" spans="1:5">
      <c r="B4" s="4" t="s">
        <v>45</v>
      </c>
      <c r="D4" s="4" t="s">
        <v>49</v>
      </c>
      <c r="E4" s="4" t="s">
        <v>38</v>
      </c>
    </row>
    <row r="5" spans="1:5">
      <c r="A5" t="s">
        <v>31</v>
      </c>
      <c r="B5">
        <v>0.56999999999999995</v>
      </c>
      <c r="D5">
        <v>100</v>
      </c>
      <c r="E5">
        <f>D5/1000</f>
        <v>0.1</v>
      </c>
    </row>
    <row r="6" spans="1:5">
      <c r="A6" t="s">
        <v>32</v>
      </c>
      <c r="B6">
        <v>0.3</v>
      </c>
    </row>
    <row r="7" spans="1:5">
      <c r="D7" s="4" t="s">
        <v>47</v>
      </c>
    </row>
    <row r="8" spans="1:5">
      <c r="D8" s="5">
        <v>5</v>
      </c>
    </row>
    <row r="17" spans="1:2">
      <c r="A17" s="4" t="s">
        <v>27</v>
      </c>
      <c r="B17" s="4" t="s">
        <v>2</v>
      </c>
    </row>
    <row r="18" spans="1:2">
      <c r="A18" t="s">
        <v>28</v>
      </c>
      <c r="B18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985F-BDF1-9A4B-BE3B-FD450947079A}">
  <dimension ref="A1:B18"/>
  <sheetViews>
    <sheetView tabSelected="1" zoomScale="183" workbookViewId="0">
      <selection activeCell="A11" sqref="A11"/>
    </sheetView>
  </sheetViews>
  <sheetFormatPr baseColWidth="10" defaultRowHeight="16"/>
  <sheetData>
    <row r="1" spans="1:2">
      <c r="A1" t="s">
        <v>34</v>
      </c>
      <c r="B1">
        <v>9678</v>
      </c>
    </row>
    <row r="3" spans="1:2">
      <c r="A3" s="4" t="s">
        <v>45</v>
      </c>
    </row>
    <row r="4" spans="1:2">
      <c r="A4" t="s">
        <v>31</v>
      </c>
      <c r="B4">
        <v>0.86450000000000005</v>
      </c>
    </row>
    <row r="5" spans="1:2">
      <c r="A5" t="s">
        <v>33</v>
      </c>
    </row>
    <row r="7" spans="1:2">
      <c r="A7" s="4" t="s">
        <v>46</v>
      </c>
    </row>
    <row r="8" spans="1:2">
      <c r="A8" s="4" t="s">
        <v>50</v>
      </c>
      <c r="B8" s="4" t="s">
        <v>38</v>
      </c>
    </row>
    <row r="9" spans="1:2">
      <c r="A9">
        <v>150</v>
      </c>
      <c r="B9">
        <f>A9/1000</f>
        <v>0.15</v>
      </c>
    </row>
    <row r="17" spans="1:2">
      <c r="A17" s="4" t="s">
        <v>27</v>
      </c>
      <c r="B17" s="4" t="s">
        <v>2</v>
      </c>
    </row>
    <row r="18" spans="1:2">
      <c r="A18" t="s">
        <v>28</v>
      </c>
      <c r="B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Eor</vt:lpstr>
      <vt:lpstr>Lanyuak</vt:lpstr>
      <vt:lpstr>Mumberes</vt:lpstr>
      <vt:lpstr>Kabianga</vt:lpstr>
      <vt:lpstr>Kipsigis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2025-10-29T20:46:55Z</dcterms:created>
  <dcterms:modified xsi:type="dcterms:W3CDTF">2026-05-14T05:46:46Z</dcterms:modified>
</cp:coreProperties>
</file>