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NTu/"/>
    </mc:Choice>
  </mc:AlternateContent>
  <xr:revisionPtr revIDLastSave="0" documentId="13_ncr:1_{FC4C8DDF-5D3D-EA44-BB54-1CA65F0DF1E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6" i="1"/>
  <c r="G3" i="1"/>
  <c r="G4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" i="1"/>
  <c r="G44" i="1" l="1"/>
  <c r="G47" i="1" s="1"/>
  <c r="G48" i="1" s="1"/>
</calcChain>
</file>

<file path=xl/sharedStrings.xml><?xml version="1.0" encoding="utf-8"?>
<sst xmlns="http://schemas.openxmlformats.org/spreadsheetml/2006/main" count="15" uniqueCount="15">
  <si>
    <t>Year</t>
  </si>
  <si>
    <t>SOC Baseline (t/ha)</t>
  </si>
  <si>
    <t>SOC Project (t/ha)</t>
  </si>
  <si>
    <t>SOC Difference (t/ha)</t>
  </si>
  <si>
    <t>Delta SOC (t/ha)</t>
  </si>
  <si>
    <t>ERs (tCO2e/ha)</t>
  </si>
  <si>
    <t>Total</t>
  </si>
  <si>
    <t>Average/yr</t>
  </si>
  <si>
    <t>/farmer/yr (low) -50x50x20%, low carbon credit value</t>
  </si>
  <si>
    <t>/farmer/yr (mid) -50x50% ,model uncertainties</t>
  </si>
  <si>
    <t>/farmer/yr (high) -50%, project, organic fert costs</t>
  </si>
  <si>
    <t>organic fert 2x cost of synthetic</t>
  </si>
  <si>
    <t>models are 50% inaccurate</t>
  </si>
  <si>
    <t>credits only sell for $2/credit</t>
  </si>
  <si>
    <t>Money Earned ($18/credit, 50% model uncertainty)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</si>
</sst>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44" fontId="0" fillId="0" borderId="0" xfId="2" applyFont="1"/>
    <xf numFmtId="43" fontId="0" fillId="2" borderId="0" xfId="1" applyFont="1" applyFill="1"/>
    <xf numFmtId="44" fontId="0" fillId="2" borderId="0" xfId="2" applyFont="1" applyFill="1"/>
    <xf numFmtId="43" fontId="0" fillId="2" borderId="0" xfId="0" applyNumberFormat="1" applyFill="1"/>
    <xf numFmtId="0" fontId="0" fillId="2" borderId="0" xfId="0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SOC Baseline (t/ha)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</c:f>
              <c:numCache>
                <c:formatCode>General</c:formatCode>
                <c:ptCount val="41"/>
                <c:pt idx="0">
                  <c:v>113.63699279450211</c:v>
                </c:pt>
                <c:pt idx="1">
                  <c:v>96.244783434634257</c:v>
                </c:pt>
                <c:pt idx="2">
                  <c:v>87.098455141869863</c:v>
                </c:pt>
                <c:pt idx="3">
                  <c:v>81.344278813872464</c:v>
                </c:pt>
                <c:pt idx="4">
                  <c:v>77.399745080673071</c:v>
                </c:pt>
                <c:pt idx="5">
                  <c:v>74.446024918337173</c:v>
                </c:pt>
                <c:pt idx="6">
                  <c:v>72.054459546598295</c:v>
                </c:pt>
                <c:pt idx="7">
                  <c:v>69.998491446021092</c:v>
                </c:pt>
                <c:pt idx="8">
                  <c:v>68.157119851860585</c:v>
                </c:pt>
                <c:pt idx="9">
                  <c:v>66.464772289269078</c:v>
                </c:pt>
                <c:pt idx="10">
                  <c:v>64.885103540654384</c:v>
                </c:pt>
                <c:pt idx="11">
                  <c:v>63.397247039214982</c:v>
                </c:pt>
                <c:pt idx="12">
                  <c:v>61.98858230884349</c:v>
                </c:pt>
                <c:pt idx="13">
                  <c:v>60.650922872653979</c:v>
                </c:pt>
                <c:pt idx="14">
                  <c:v>59.378503063879037</c:v>
                </c:pt>
                <c:pt idx="15">
                  <c:v>58.166912089782663</c:v>
                </c:pt>
                <c:pt idx="16">
                  <c:v>57.012527374815853</c:v>
                </c:pt>
                <c:pt idx="17">
                  <c:v>55.912211321948632</c:v>
                </c:pt>
                <c:pt idx="18">
                  <c:v>54.863147228943888</c:v>
                </c:pt>
                <c:pt idx="19">
                  <c:v>53.862748856668098</c:v>
                </c:pt>
                <c:pt idx="20">
                  <c:v>52.908609101896452</c:v>
                </c:pt>
                <c:pt idx="21">
                  <c:v>51.99846954077023</c:v>
                </c:pt>
                <c:pt idx="22">
                  <c:v>51.130201209348847</c:v>
                </c:pt>
                <c:pt idx="23">
                  <c:v>50.301791523188697</c:v>
                </c:pt>
                <c:pt idx="24">
                  <c:v>49.51133463078375</c:v>
                </c:pt>
                <c:pt idx="25">
                  <c:v>48.757023758965587</c:v>
                </c:pt>
                <c:pt idx="26">
                  <c:v>48.037144775895889</c:v>
                </c:pt>
                <c:pt idx="27">
                  <c:v>47.350070550563252</c:v>
                </c:pt>
                <c:pt idx="28">
                  <c:v>46.694255875131176</c:v>
                </c:pt>
                <c:pt idx="29">
                  <c:v>46.068232816343382</c:v>
                </c:pt>
                <c:pt idx="30">
                  <c:v>45.470606415767087</c:v>
                </c:pt>
                <c:pt idx="31">
                  <c:v>44.900050687726271</c:v>
                </c:pt>
                <c:pt idx="32">
                  <c:v>44.355304879846358</c:v>
                </c:pt>
                <c:pt idx="33">
                  <c:v>43.835169970274379</c:v>
                </c:pt>
                <c:pt idx="34">
                  <c:v>43.338505381063449</c:v>
                </c:pt>
                <c:pt idx="35">
                  <c:v>42.864225890620808</c:v>
                </c:pt>
                <c:pt idx="36">
                  <c:v>42.411298730414117</c:v>
                </c:pt>
                <c:pt idx="37">
                  <c:v>41.978740852795838</c:v>
                </c:pt>
                <c:pt idx="38">
                  <c:v>41.565616358096541</c:v>
                </c:pt>
                <c:pt idx="39">
                  <c:v>41.171034070195248</c:v>
                </c:pt>
                <c:pt idx="40">
                  <c:v>40.794145250677893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4-8848-B4BB-11E1A3B528C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SOC Project (t/ha)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Sheet1!$C$2:$C$42</c:f>
              <c:numCache>
                <c:formatCode>General</c:formatCode>
                <c:ptCount val="41"/>
                <c:pt idx="0">
                  <c:v>113.63523000105261</c:v>
                </c:pt>
                <c:pt idx="1">
                  <c:v>113.6352291472669</c:v>
                </c:pt>
                <c:pt idx="2">
                  <c:v>113.6352283697492</c:v>
                </c:pt>
                <c:pt idx="3">
                  <c:v>113.6352276616864</c:v>
                </c:pt>
                <c:pt idx="4">
                  <c:v>113.6352270168742</c:v>
                </c:pt>
                <c:pt idx="5">
                  <c:v>113.6352264296625</c:v>
                </c:pt>
                <c:pt idx="6">
                  <c:v>113.6352258949059</c:v>
                </c:pt>
                <c:pt idx="7">
                  <c:v>113.6352254079187</c:v>
                </c:pt>
                <c:pt idx="8">
                  <c:v>113.6352249644335</c:v>
                </c:pt>
                <c:pt idx="9">
                  <c:v>113.6352245605645</c:v>
                </c:pt>
                <c:pt idx="10">
                  <c:v>113.6352241927728</c:v>
                </c:pt>
                <c:pt idx="11">
                  <c:v>113.6352238578355</c:v>
                </c:pt>
                <c:pt idx="12">
                  <c:v>113.63522355281791</c:v>
                </c:pt>
                <c:pt idx="13">
                  <c:v>113.6352232750473</c:v>
                </c:pt>
                <c:pt idx="14">
                  <c:v>113.6352230220896</c:v>
                </c:pt>
                <c:pt idx="15">
                  <c:v>113.63522279172849</c:v>
                </c:pt>
                <c:pt idx="16">
                  <c:v>113.6352225819453</c:v>
                </c:pt>
                <c:pt idx="17">
                  <c:v>113.6352223909018</c:v>
                </c:pt>
                <c:pt idx="18">
                  <c:v>113.63522221692411</c:v>
                </c:pt>
                <c:pt idx="19">
                  <c:v>113.6352220584877</c:v>
                </c:pt>
                <c:pt idx="20">
                  <c:v>113.63522191420419</c:v>
                </c:pt>
                <c:pt idx="21">
                  <c:v>113.6352217828095</c:v>
                </c:pt>
                <c:pt idx="22">
                  <c:v>113.63522166315209</c:v>
                </c:pt>
                <c:pt idx="23">
                  <c:v>113.6352215541836</c:v>
                </c:pt>
                <c:pt idx="24">
                  <c:v>113.6352214549491</c:v>
                </c:pt>
                <c:pt idx="25">
                  <c:v>113.63522136457919</c:v>
                </c:pt>
                <c:pt idx="26">
                  <c:v>113.635221282282</c:v>
                </c:pt>
                <c:pt idx="27">
                  <c:v>113.6352212073363</c:v>
                </c:pt>
                <c:pt idx="28">
                  <c:v>113.6352211390854</c:v>
                </c:pt>
                <c:pt idx="29">
                  <c:v>113.6352210769314</c:v>
                </c:pt>
                <c:pt idx="30">
                  <c:v>113.6352210203294</c:v>
                </c:pt>
                <c:pt idx="31">
                  <c:v>113.6352209687836</c:v>
                </c:pt>
                <c:pt idx="32">
                  <c:v>113.6352209218424</c:v>
                </c:pt>
                <c:pt idx="33">
                  <c:v>113.6352208790944</c:v>
                </c:pt>
                <c:pt idx="34">
                  <c:v>113.6352208401651</c:v>
                </c:pt>
                <c:pt idx="35">
                  <c:v>113.6352208047133</c:v>
                </c:pt>
                <c:pt idx="36">
                  <c:v>113.6352207724283</c:v>
                </c:pt>
                <c:pt idx="37">
                  <c:v>113.6352207430274</c:v>
                </c:pt>
                <c:pt idx="38">
                  <c:v>113.6352207162528</c:v>
                </c:pt>
                <c:pt idx="39">
                  <c:v>113.63522069187</c:v>
                </c:pt>
                <c:pt idx="40">
                  <c:v>113.6352206696653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4-8848-B4BB-11E1A3B52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944607"/>
        <c:axId val="1783160943"/>
      </c:lineChart>
      <c:catAx>
        <c:axId val="178294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60943"/>
        <c:crosses val="autoZero"/>
        <c:auto val="1"/>
        <c:lblAlgn val="ctr"/>
        <c:lblOffset val="100"/>
        <c:noMultiLvlLbl val="0"/>
      </c:catAx>
      <c:valAx>
        <c:axId val="17831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4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464903</xdr:colOff>
      <xdr:row>7</xdr:row>
      <xdr:rowOff>33612</xdr:rowOff>
    </xdr:from>
    <xdr:to>
      <xdr:col>16</xdr:col>
      <xdr:colOff>357955</xdr:colOff>
      <xdr:row>21</xdr:row>
      <xdr:rowOff>103128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6EB551-F56F-3918-D5DD-9ABA73C86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200" zoomScaleNormal="177" workbookViewId="0">
      <selection activeCell="G46" sqref="G46"/>
    </sheetView>
  </sheetViews>
  <sheetFormatPr baseColWidth="10" defaultColWidth="8.83203125" defaultRowHeight="15" x14ac:dyDescent="0.2"/>
  <cols>
    <col min="6" max="6" width="13.6640625" bestFit="1" customWidth="1"/>
    <col min="7" max="7" width="14.6640625" style="2" bestFit="1" customWidth="1"/>
    <col min="8" max="8" width="18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</v>
      </c>
    </row>
    <row r="2" spans="1:7" x14ac:dyDescent="0.2">
      <c r="A2">
        <v>1</v>
      </c>
      <c r="B2">
        <v>113.63699279450211</v>
      </c>
      <c r="C2">
        <v>113.63523000105261</v>
      </c>
      <c r="D2">
        <v>-1.7627934495152431E-3</v>
      </c>
      <c r="G2" s="2">
        <f>8</f>
        <v>8</v>
      </c>
    </row>
    <row r="3" spans="1:7" x14ac:dyDescent="0.2">
      <c r="A3">
        <v>2026</v>
      </c>
      <c r="B3">
        <v>96.244783434634257</v>
      </c>
      <c r="C3">
        <v>113.6352291472669</v>
      </c>
      <c r="D3">
        <v>17.390445712632669</v>
      </c>
      <c r="E3">
        <v>17.392208506082181</v>
      </c>
      <c r="F3">
        <v>63.771431188968023</v>
      </c>
      <c r="G3" s="3">
        <f>F3*9678*$G$2*0.5</f>
        <v>2468719.6441873303</v>
      </c>
    </row>
    <row r="4" spans="1:7" x14ac:dyDescent="0.2">
      <c r="A4">
        <v>2027</v>
      </c>
      <c r="B4">
        <v>87.098455141869863</v>
      </c>
      <c r="C4">
        <v>113.6352283697492</v>
      </c>
      <c r="D4">
        <v>26.536773227879319</v>
      </c>
      <c r="E4">
        <v>9.1463275152466537</v>
      </c>
      <c r="F4">
        <v>33.536534222571063</v>
      </c>
      <c r="G4" s="3">
        <f t="shared" ref="G4:G42" si="0">F4*9678*$G$2*0.5</f>
        <v>1298266.312824171</v>
      </c>
    </row>
    <row r="5" spans="1:7" x14ac:dyDescent="0.2">
      <c r="A5">
        <v>2028</v>
      </c>
      <c r="B5">
        <v>81.344278813872464</v>
      </c>
      <c r="C5">
        <v>113.6352276616864</v>
      </c>
      <c r="D5">
        <v>32.290948847813937</v>
      </c>
      <c r="E5">
        <v>5.7541756199346139</v>
      </c>
      <c r="F5">
        <v>21.098643939760251</v>
      </c>
      <c r="G5" s="3">
        <f t="shared" si="0"/>
        <v>816770.70419599884</v>
      </c>
    </row>
    <row r="6" spans="1:7" x14ac:dyDescent="0.2">
      <c r="A6">
        <v>2029</v>
      </c>
      <c r="B6">
        <v>77.399745080673071</v>
      </c>
      <c r="C6">
        <v>113.6352270168742</v>
      </c>
      <c r="D6">
        <v>36.235481936201097</v>
      </c>
      <c r="E6">
        <v>3.944533088387161</v>
      </c>
      <c r="F6">
        <v>14.463287990752921</v>
      </c>
      <c r="G6" s="3">
        <f t="shared" si="0"/>
        <v>559902.80469802709</v>
      </c>
    </row>
    <row r="7" spans="1:7" x14ac:dyDescent="0.2">
      <c r="A7">
        <v>2030</v>
      </c>
      <c r="B7">
        <v>74.446024918337173</v>
      </c>
      <c r="C7">
        <v>113.6352264296625</v>
      </c>
      <c r="D7">
        <v>39.189201511325351</v>
      </c>
      <c r="E7">
        <v>2.953719575124254</v>
      </c>
      <c r="F7">
        <v>10.830305108788931</v>
      </c>
      <c r="G7" s="3">
        <f t="shared" si="0"/>
        <v>419262.77137143706</v>
      </c>
    </row>
    <row r="8" spans="1:7" x14ac:dyDescent="0.2">
      <c r="A8">
        <v>2031</v>
      </c>
      <c r="B8">
        <v>72.054459546598295</v>
      </c>
      <c r="C8">
        <v>113.6352258949059</v>
      </c>
      <c r="D8">
        <v>41.580766348307627</v>
      </c>
      <c r="E8">
        <v>2.3915648369822828</v>
      </c>
      <c r="F8">
        <v>8.7690710689350393</v>
      </c>
      <c r="G8" s="3">
        <f t="shared" si="0"/>
        <v>339468.27922061324</v>
      </c>
    </row>
    <row r="9" spans="1:7" x14ac:dyDescent="0.2">
      <c r="A9">
        <v>2032</v>
      </c>
      <c r="B9">
        <v>69.998491446021092</v>
      </c>
      <c r="C9">
        <v>113.6352254079187</v>
      </c>
      <c r="D9">
        <v>43.636733961897583</v>
      </c>
      <c r="E9">
        <v>2.0559676135899418</v>
      </c>
      <c r="F9">
        <v>7.5385479164964551</v>
      </c>
      <c r="G9" s="3">
        <f t="shared" si="0"/>
        <v>291832.2669434108</v>
      </c>
    </row>
    <row r="10" spans="1:7" x14ac:dyDescent="0.2">
      <c r="A10">
        <v>2033</v>
      </c>
      <c r="B10">
        <v>68.157119851860585</v>
      </c>
      <c r="C10">
        <v>113.6352249644335</v>
      </c>
      <c r="D10">
        <v>45.478105112572948</v>
      </c>
      <c r="E10">
        <v>1.8413711506753709</v>
      </c>
      <c r="F10">
        <v>6.7516942191430287</v>
      </c>
      <c r="G10" s="3">
        <f t="shared" si="0"/>
        <v>261371.58661146494</v>
      </c>
    </row>
    <row r="11" spans="1:7" x14ac:dyDescent="0.2">
      <c r="A11">
        <v>2034</v>
      </c>
      <c r="B11">
        <v>66.464772289269078</v>
      </c>
      <c r="C11">
        <v>113.6352245605645</v>
      </c>
      <c r="D11">
        <v>47.17045227129546</v>
      </c>
      <c r="E11">
        <v>1.6923471587225121</v>
      </c>
      <c r="F11">
        <v>6.2052729153158781</v>
      </c>
      <c r="G11" s="3">
        <f t="shared" si="0"/>
        <v>240218.52509770828</v>
      </c>
    </row>
    <row r="12" spans="1:7" x14ac:dyDescent="0.2">
      <c r="A12">
        <v>2035</v>
      </c>
      <c r="B12">
        <v>64.885103540654384</v>
      </c>
      <c r="C12">
        <v>113.6352241927728</v>
      </c>
      <c r="D12">
        <v>48.750120652118369</v>
      </c>
      <c r="E12">
        <v>1.5796683808229091</v>
      </c>
      <c r="F12">
        <v>5.7921173963506662</v>
      </c>
      <c r="G12" s="3">
        <f t="shared" si="0"/>
        <v>224224.448647527</v>
      </c>
    </row>
    <row r="13" spans="1:7" x14ac:dyDescent="0.2">
      <c r="A13">
        <v>2036</v>
      </c>
      <c r="B13">
        <v>63.397247039214982</v>
      </c>
      <c r="C13">
        <v>113.6352238578355</v>
      </c>
      <c r="D13">
        <v>50.237976818620517</v>
      </c>
      <c r="E13">
        <v>1.4878561665021479</v>
      </c>
      <c r="F13">
        <v>5.4554726105078757</v>
      </c>
      <c r="G13" s="3">
        <f t="shared" si="0"/>
        <v>211192.25569798087</v>
      </c>
    </row>
    <row r="14" spans="1:7" x14ac:dyDescent="0.2">
      <c r="A14">
        <v>2037</v>
      </c>
      <c r="B14">
        <v>61.98858230884349</v>
      </c>
      <c r="C14">
        <v>113.63522355281791</v>
      </c>
      <c r="D14">
        <v>51.646641243974372</v>
      </c>
      <c r="E14">
        <v>1.4086644253538549</v>
      </c>
      <c r="F14">
        <v>5.1651028929641356</v>
      </c>
      <c r="G14" s="3">
        <f t="shared" si="0"/>
        <v>199951.46319242762</v>
      </c>
    </row>
    <row r="15" spans="1:7" x14ac:dyDescent="0.2">
      <c r="A15">
        <v>2038</v>
      </c>
      <c r="B15">
        <v>60.650922872653979</v>
      </c>
      <c r="C15">
        <v>113.6352232750473</v>
      </c>
      <c r="D15">
        <v>52.984300402393302</v>
      </c>
      <c r="E15">
        <v>1.3376591584189299</v>
      </c>
      <c r="F15">
        <v>4.904750247536076</v>
      </c>
      <c r="G15" s="3">
        <f t="shared" si="0"/>
        <v>189872.69158261656</v>
      </c>
    </row>
    <row r="16" spans="1:7" x14ac:dyDescent="0.2">
      <c r="A16">
        <v>2039</v>
      </c>
      <c r="B16">
        <v>59.378503063879037</v>
      </c>
      <c r="C16">
        <v>113.6352230220896</v>
      </c>
      <c r="D16">
        <v>54.256719958210567</v>
      </c>
      <c r="E16">
        <v>1.272419555817272</v>
      </c>
      <c r="F16">
        <v>4.6655383713299976</v>
      </c>
      <c r="G16" s="3">
        <f t="shared" si="0"/>
        <v>180612.32143092688</v>
      </c>
    </row>
    <row r="17" spans="1:7" x14ac:dyDescent="0.2">
      <c r="A17">
        <v>2040</v>
      </c>
      <c r="B17">
        <v>58.166912089782663</v>
      </c>
      <c r="C17">
        <v>113.63522279172849</v>
      </c>
      <c r="D17">
        <v>55.468310701945789</v>
      </c>
      <c r="E17">
        <v>1.2115907437352149</v>
      </c>
      <c r="F17">
        <v>4.4424993936957877</v>
      </c>
      <c r="G17" s="3">
        <f t="shared" si="0"/>
        <v>171978.03652875134</v>
      </c>
    </row>
    <row r="18" spans="1:7" x14ac:dyDescent="0.2">
      <c r="A18">
        <v>2041</v>
      </c>
      <c r="B18">
        <v>57.012527374815853</v>
      </c>
      <c r="C18">
        <v>113.6352225819453</v>
      </c>
      <c r="D18">
        <v>56.622695207129418</v>
      </c>
      <c r="E18">
        <v>1.1543845051836359</v>
      </c>
      <c r="F18">
        <v>4.2327431856733311</v>
      </c>
      <c r="G18" s="3">
        <f t="shared" si="0"/>
        <v>163857.95420378598</v>
      </c>
    </row>
    <row r="19" spans="1:7" x14ac:dyDescent="0.2">
      <c r="A19">
        <v>2042</v>
      </c>
      <c r="B19">
        <v>55.912211321948632</v>
      </c>
      <c r="C19">
        <v>113.6352223909018</v>
      </c>
      <c r="D19">
        <v>57.723011068953191</v>
      </c>
      <c r="E19">
        <v>1.1003158618237661</v>
      </c>
      <c r="F19">
        <v>4.0344914933538094</v>
      </c>
      <c r="G19" s="3">
        <f t="shared" si="0"/>
        <v>156183.23469071268</v>
      </c>
    </row>
    <row r="20" spans="1:7" x14ac:dyDescent="0.2">
      <c r="A20">
        <v>2043</v>
      </c>
      <c r="B20">
        <v>54.863147228943888</v>
      </c>
      <c r="C20">
        <v>113.63522221692411</v>
      </c>
      <c r="D20">
        <v>58.772074987980247</v>
      </c>
      <c r="E20">
        <v>1.0490639190270561</v>
      </c>
      <c r="F20">
        <v>3.846567703099204</v>
      </c>
      <c r="G20" s="3">
        <f t="shared" si="0"/>
        <v>148908.32892237639</v>
      </c>
    </row>
    <row r="21" spans="1:7" x14ac:dyDescent="0.2">
      <c r="A21">
        <v>2044</v>
      </c>
      <c r="B21">
        <v>53.862748856668098</v>
      </c>
      <c r="C21">
        <v>113.6352220584877</v>
      </c>
      <c r="D21">
        <v>59.772473201819587</v>
      </c>
      <c r="E21">
        <v>1.0003982138393399</v>
      </c>
      <c r="F21">
        <v>3.6681267840775789</v>
      </c>
      <c r="G21" s="3">
        <f t="shared" si="0"/>
        <v>142000.52406521124</v>
      </c>
    </row>
    <row r="22" spans="1:7" x14ac:dyDescent="0.2">
      <c r="A22">
        <v>2045</v>
      </c>
      <c r="B22">
        <v>52.908609101896452</v>
      </c>
      <c r="C22">
        <v>113.63522191420419</v>
      </c>
      <c r="D22">
        <v>60.726612812307771</v>
      </c>
      <c r="E22">
        <v>0.95413961048818408</v>
      </c>
      <c r="F22">
        <v>3.4985119051233422</v>
      </c>
      <c r="G22" s="3">
        <f t="shared" si="0"/>
        <v>135434.39287113483</v>
      </c>
    </row>
    <row r="23" spans="1:7" x14ac:dyDescent="0.2">
      <c r="A23">
        <v>2046</v>
      </c>
      <c r="B23">
        <v>51.99846954077023</v>
      </c>
      <c r="C23">
        <v>113.6352217828095</v>
      </c>
      <c r="D23">
        <v>61.636752242039258</v>
      </c>
      <c r="E23">
        <v>0.91013942973149398</v>
      </c>
      <c r="F23">
        <v>3.3371779090154781</v>
      </c>
      <c r="G23" s="3">
        <f t="shared" si="0"/>
        <v>129188.83121380719</v>
      </c>
    </row>
    <row r="24" spans="1:7" x14ac:dyDescent="0.2">
      <c r="A24">
        <v>2047</v>
      </c>
      <c r="B24">
        <v>51.130201209348847</v>
      </c>
      <c r="C24">
        <v>113.63522166315209</v>
      </c>
      <c r="D24">
        <v>62.505020453803283</v>
      </c>
      <c r="E24">
        <v>0.86826821176401836</v>
      </c>
      <c r="F24">
        <v>3.183650109801401</v>
      </c>
      <c r="G24" s="3">
        <f t="shared" si="0"/>
        <v>123245.46305063184</v>
      </c>
    </row>
    <row r="25" spans="1:7" x14ac:dyDescent="0.2">
      <c r="A25">
        <v>2048</v>
      </c>
      <c r="B25">
        <v>50.301791523188697</v>
      </c>
      <c r="C25">
        <v>113.6352215541836</v>
      </c>
      <c r="D25">
        <v>63.333430030994883</v>
      </c>
      <c r="E25">
        <v>0.82840957719160002</v>
      </c>
      <c r="F25">
        <v>3.037501783035867</v>
      </c>
      <c r="G25" s="3">
        <f t="shared" si="0"/>
        <v>117587.76902488449</v>
      </c>
    </row>
    <row r="26" spans="1:7" x14ac:dyDescent="0.2">
      <c r="A26">
        <v>2049</v>
      </c>
      <c r="B26">
        <v>49.51133463078375</v>
      </c>
      <c r="C26">
        <v>113.6352214549491</v>
      </c>
      <c r="D26">
        <v>64.123886824165353</v>
      </c>
      <c r="E26">
        <v>0.79045679317047046</v>
      </c>
      <c r="F26">
        <v>2.8983415749583918</v>
      </c>
      <c r="G26" s="3">
        <f t="shared" si="0"/>
        <v>112200.59904978926</v>
      </c>
    </row>
    <row r="27" spans="1:7" x14ac:dyDescent="0.2">
      <c r="A27">
        <v>2050</v>
      </c>
      <c r="B27">
        <v>48.757023758965587</v>
      </c>
      <c r="C27">
        <v>113.63522136457919</v>
      </c>
      <c r="D27">
        <v>64.878197605613579</v>
      </c>
      <c r="E27">
        <v>0.7543107814482255</v>
      </c>
      <c r="F27">
        <v>2.7658061986434941</v>
      </c>
      <c r="G27" s="3">
        <f t="shared" si="0"/>
        <v>107069.88956188694</v>
      </c>
    </row>
    <row r="28" spans="1:7" x14ac:dyDescent="0.2">
      <c r="A28">
        <v>2051</v>
      </c>
      <c r="B28">
        <v>48.037144775895889</v>
      </c>
      <c r="C28">
        <v>113.635221282282</v>
      </c>
      <c r="D28">
        <v>65.598076506386064</v>
      </c>
      <c r="E28">
        <v>0.71987890077248551</v>
      </c>
      <c r="F28">
        <v>2.639555969499114</v>
      </c>
      <c r="G28" s="3">
        <f t="shared" si="0"/>
        <v>102182.4906912497</v>
      </c>
    </row>
    <row r="29" spans="1:7" x14ac:dyDescent="0.2">
      <c r="A29">
        <v>2052</v>
      </c>
      <c r="B29">
        <v>47.350070550563252</v>
      </c>
      <c r="C29">
        <v>113.6352212073363</v>
      </c>
      <c r="D29">
        <v>66.285150656773027</v>
      </c>
      <c r="E29">
        <v>0.6870741503869624</v>
      </c>
      <c r="F29">
        <v>2.5192718847521949</v>
      </c>
      <c r="G29" s="3">
        <f t="shared" si="0"/>
        <v>97526.053202526964</v>
      </c>
    </row>
    <row r="30" spans="1:7" x14ac:dyDescent="0.2">
      <c r="A30">
        <v>2053</v>
      </c>
      <c r="B30">
        <v>46.694255875131176</v>
      </c>
      <c r="C30">
        <v>113.6352211390854</v>
      </c>
      <c r="D30">
        <v>66.94096526395424</v>
      </c>
      <c r="E30">
        <v>0.6558146071812132</v>
      </c>
      <c r="F30">
        <v>2.4046535596644478</v>
      </c>
      <c r="G30" s="3">
        <f t="shared" si="0"/>
        <v>93088.94860173011</v>
      </c>
    </row>
    <row r="31" spans="1:7" x14ac:dyDescent="0.2">
      <c r="A31">
        <v>2054</v>
      </c>
      <c r="B31">
        <v>46.068232816343382</v>
      </c>
      <c r="C31">
        <v>113.6352210769314</v>
      </c>
      <c r="D31">
        <v>67.566988260587976</v>
      </c>
      <c r="E31">
        <v>0.62602299663373628</v>
      </c>
      <c r="F31">
        <v>2.2954176543237002</v>
      </c>
      <c r="G31" s="3">
        <f t="shared" si="0"/>
        <v>88860.208234179081</v>
      </c>
    </row>
    <row r="32" spans="1:7" x14ac:dyDescent="0.2">
      <c r="A32">
        <v>2055</v>
      </c>
      <c r="B32">
        <v>45.470606415767087</v>
      </c>
      <c r="C32">
        <v>113.6352210203294</v>
      </c>
      <c r="D32">
        <v>68.164614604562274</v>
      </c>
      <c r="E32">
        <v>0.59762634397429792</v>
      </c>
      <c r="F32">
        <v>2.1912965945724259</v>
      </c>
      <c r="G32" s="3">
        <f t="shared" si="0"/>
        <v>84829.473769087752</v>
      </c>
    </row>
    <row r="33" spans="1:8" x14ac:dyDescent="0.2">
      <c r="A33">
        <v>2056</v>
      </c>
      <c r="B33">
        <v>44.900050687726271</v>
      </c>
      <c r="C33">
        <v>113.6352209687836</v>
      </c>
      <c r="D33">
        <v>68.735170281057322</v>
      </c>
      <c r="E33">
        <v>0.57055567649504724</v>
      </c>
      <c r="F33">
        <v>2.09203748048184</v>
      </c>
      <c r="G33" s="3">
        <f t="shared" si="0"/>
        <v>80986.954944412995</v>
      </c>
    </row>
    <row r="34" spans="1:8" x14ac:dyDescent="0.2">
      <c r="A34">
        <v>2057</v>
      </c>
      <c r="B34">
        <v>44.355304879846358</v>
      </c>
      <c r="C34">
        <v>113.6352209218424</v>
      </c>
      <c r="D34">
        <v>69.279916041996046</v>
      </c>
      <c r="E34">
        <v>0.54474576093872429</v>
      </c>
      <c r="F34">
        <v>1.9974011234419891</v>
      </c>
      <c r="G34" s="3">
        <f t="shared" si="0"/>
        <v>77323.392290686286</v>
      </c>
    </row>
    <row r="35" spans="1:8" x14ac:dyDescent="0.2">
      <c r="A35">
        <v>2058</v>
      </c>
      <c r="B35">
        <v>43.835169970274379</v>
      </c>
      <c r="C35">
        <v>113.6352208790944</v>
      </c>
      <c r="D35">
        <v>69.80005090882004</v>
      </c>
      <c r="E35">
        <v>0.52013486682399446</v>
      </c>
      <c r="F35">
        <v>1.907161178354646</v>
      </c>
      <c r="G35" s="3">
        <f t="shared" si="0"/>
        <v>73830.023536465058</v>
      </c>
    </row>
    <row r="36" spans="1:8" x14ac:dyDescent="0.2">
      <c r="A36">
        <v>2059</v>
      </c>
      <c r="B36">
        <v>43.338505381063449</v>
      </c>
      <c r="C36">
        <v>113.6352208401651</v>
      </c>
      <c r="D36">
        <v>70.296715459101677</v>
      </c>
      <c r="E36">
        <v>0.49666455028163631</v>
      </c>
      <c r="F36">
        <v>1.821103351032666</v>
      </c>
      <c r="G36" s="3">
        <f t="shared" si="0"/>
        <v>70498.552925176569</v>
      </c>
    </row>
    <row r="37" spans="1:8" x14ac:dyDescent="0.2">
      <c r="A37">
        <v>2060</v>
      </c>
      <c r="B37">
        <v>42.864225890620808</v>
      </c>
      <c r="C37">
        <v>113.6352208047133</v>
      </c>
      <c r="D37">
        <v>70.770994914092512</v>
      </c>
      <c r="E37">
        <v>0.47427945499083529</v>
      </c>
      <c r="F37">
        <v>1.7390246682997299</v>
      </c>
      <c r="G37" s="3">
        <f t="shared" si="0"/>
        <v>67321.122959219138</v>
      </c>
    </row>
    <row r="38" spans="1:8" x14ac:dyDescent="0.2">
      <c r="A38">
        <v>2061</v>
      </c>
      <c r="B38">
        <v>42.411298730414117</v>
      </c>
      <c r="C38">
        <v>113.6352207724283</v>
      </c>
      <c r="D38">
        <v>71.223922042014209</v>
      </c>
      <c r="E38">
        <v>0.45292712792169709</v>
      </c>
      <c r="F38">
        <v>1.660732802379556</v>
      </c>
      <c r="G38" s="3">
        <f t="shared" si="0"/>
        <v>64290.288245717369</v>
      </c>
    </row>
    <row r="39" spans="1:8" x14ac:dyDescent="0.2">
      <c r="A39">
        <v>2062</v>
      </c>
      <c r="B39">
        <v>41.978740852795838</v>
      </c>
      <c r="C39">
        <v>113.6352207430274</v>
      </c>
      <c r="D39">
        <v>71.656479890231566</v>
      </c>
      <c r="E39">
        <v>0.43255784821735688</v>
      </c>
      <c r="F39">
        <v>1.586045443463642</v>
      </c>
      <c r="G39" s="3">
        <f t="shared" si="0"/>
        <v>61398.99120736451</v>
      </c>
    </row>
    <row r="40" spans="1:8" x14ac:dyDescent="0.2">
      <c r="A40">
        <v>2063</v>
      </c>
      <c r="B40">
        <v>41.565616358096541</v>
      </c>
      <c r="C40">
        <v>113.6352207162528</v>
      </c>
      <c r="D40">
        <v>72.069604358156283</v>
      </c>
      <c r="E40">
        <v>0.41312446792471752</v>
      </c>
      <c r="F40">
        <v>1.514789715723964</v>
      </c>
      <c r="G40" s="3">
        <f t="shared" si="0"/>
        <v>58640.539475106096</v>
      </c>
    </row>
    <row r="41" spans="1:8" x14ac:dyDescent="0.2">
      <c r="A41">
        <v>2064</v>
      </c>
      <c r="B41">
        <v>41.171034070195248</v>
      </c>
      <c r="C41">
        <v>113.63522069187</v>
      </c>
      <c r="D41">
        <v>72.464186621674799</v>
      </c>
      <c r="E41">
        <v>0.39458226351851522</v>
      </c>
      <c r="F41">
        <v>1.446801632901223</v>
      </c>
      <c r="G41" s="3">
        <f t="shared" si="0"/>
        <v>56008.584812872141</v>
      </c>
    </row>
    <row r="42" spans="1:8" x14ac:dyDescent="0.2">
      <c r="A42">
        <v>2065</v>
      </c>
      <c r="B42">
        <v>40.794145250677893</v>
      </c>
      <c r="C42">
        <v>113.6352206696653</v>
      </c>
      <c r="D42">
        <v>72.841075418987373</v>
      </c>
      <c r="E42">
        <v>0.3768887973125743</v>
      </c>
      <c r="F42">
        <v>1.3819255901461061</v>
      </c>
      <c r="G42" s="3">
        <f>F42*9678*$G$2*0.5</f>
        <v>53497.103445736058</v>
      </c>
    </row>
    <row r="44" spans="1:8" x14ac:dyDescent="0.2">
      <c r="F44" t="s">
        <v>6</v>
      </c>
      <c r="G44" s="3">
        <f>SUM(G3:G42)</f>
        <v>10339603.827226143</v>
      </c>
    </row>
    <row r="45" spans="1:8" x14ac:dyDescent="0.2">
      <c r="F45" t="s">
        <v>7</v>
      </c>
      <c r="G45" s="3">
        <f>G44/40</f>
        <v>258490.09568065358</v>
      </c>
    </row>
    <row r="46" spans="1:8" x14ac:dyDescent="0.2">
      <c r="F46" s="4" t="s">
        <v>10</v>
      </c>
      <c r="G46" s="5">
        <f>G45*0.5/2100</f>
        <v>61.545260876346092</v>
      </c>
      <c r="H46" t="s">
        <v>11</v>
      </c>
    </row>
    <row r="47" spans="1:8" x14ac:dyDescent="0.2">
      <c r="F47" s="6" t="s">
        <v>9</v>
      </c>
      <c r="G47" s="5">
        <f>G46*0.5</f>
        <v>30.772630438173046</v>
      </c>
      <c r="H47" t="s">
        <v>12</v>
      </c>
    </row>
    <row r="48" spans="1:8" x14ac:dyDescent="0.2">
      <c r="F48" s="7" t="s">
        <v>8</v>
      </c>
      <c r="G48" s="5">
        <f>G47*0.2</f>
        <v>6.1545260876346095</v>
      </c>
      <c r="H48" t="s">
        <v>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Bendre, Mihir Y</cp:lastModifiedBy>
  <dcterms:created xsi:type="dcterms:W3CDTF">2026-02-27T22:49:48Z</dcterms:created>
  <dcterms:modified xsi:type="dcterms:W3CDTF">2026-03-10T10:15:46Z</dcterms:modified>
</cp:coreProperties>
</file>