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hirbendre/Documents/Gazelle/Gazelle_2026/Kenya_Project/Agricentric_SOC_Modeling/Bolinder/"/>
    </mc:Choice>
  </mc:AlternateContent>
  <xr:revisionPtr revIDLastSave="0" documentId="13_ncr:1_{1EF20004-20DC-D441-BA8E-81538853E04E}" xr6:coauthVersionLast="47" xr6:coauthVersionMax="47" xr10:uidLastSave="{00000000-0000-0000-0000-000000000000}"/>
  <bookViews>
    <workbookView xWindow="-19600" yWindow="-8080" windowWidth="15540" windowHeight="18400" xr2:uid="{55781C5C-DD9E-4741-90FA-EC780B587BCA}"/>
  </bookViews>
  <sheets>
    <sheet name="Mumberes" sheetId="1" r:id="rId1"/>
    <sheet name="Lanyua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E9" i="2"/>
  <c r="E10" i="2"/>
  <c r="E11" i="2"/>
  <c r="E12" i="2"/>
  <c r="E13" i="2"/>
  <c r="E14" i="2"/>
  <c r="E15" i="2"/>
  <c r="E8" i="2"/>
  <c r="F9" i="1"/>
  <c r="G9" i="1" s="1"/>
  <c r="G8" i="1"/>
</calcChain>
</file>

<file path=xl/sharedStrings.xml><?xml version="1.0" encoding="utf-8"?>
<sst xmlns="http://schemas.openxmlformats.org/spreadsheetml/2006/main" count="30" uniqueCount="23">
  <si>
    <t>Cropland</t>
  </si>
  <si>
    <t>Grassland</t>
  </si>
  <si>
    <t>Area (ha)</t>
  </si>
  <si>
    <t>Maize</t>
  </si>
  <si>
    <t>Potatos</t>
  </si>
  <si>
    <t>Vegetables</t>
  </si>
  <si>
    <t>Crop</t>
  </si>
  <si>
    <t>Percentage</t>
  </si>
  <si>
    <t>Yield (kg per bag)</t>
  </si>
  <si>
    <t>Yield (bags per acre)</t>
  </si>
  <si>
    <t>Yield (t/ha)</t>
  </si>
  <si>
    <t>Yield (kg/ac)</t>
  </si>
  <si>
    <t>excluded, yields not yet available</t>
  </si>
  <si>
    <t>Wheat</t>
  </si>
  <si>
    <t>Barley</t>
  </si>
  <si>
    <t>Carrots</t>
  </si>
  <si>
    <t>Cabbage</t>
  </si>
  <si>
    <t>Peas</t>
  </si>
  <si>
    <t>Canola</t>
  </si>
  <si>
    <t>Potatoes</t>
  </si>
  <si>
    <t>Yield (t/acre)</t>
  </si>
  <si>
    <t>Data from Mumberes Co-operative lead: CPA Kosgei</t>
  </si>
  <si>
    <t>^ bound to change, based on Kosgei's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</si>
</sst>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9" fontId="0" fillId="0" borderId="0" xfId="0" applyNumberFormat="1"/>
    <xf numFmtId="164" fontId="0" fillId="0" borderId="0" xfId="0" applyNumberForma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B873-80E5-EB47-B07D-1B182938EEB5}">
  <dimension ref="B2:G13"/>
  <sheetViews>
    <sheetView tabSelected="1" zoomScale="150" workbookViewId="0">
      <selection activeCell="F9" sqref="F9"/>
    </sheetView>
  </sheetViews>
  <sheetFormatPr baseColWidth="10" defaultRowHeight="16" x14ac:dyDescent="0.2"/>
  <cols>
    <col min="4" max="4" width="17" customWidth="1"/>
    <col min="5" max="5" width="19.6640625" customWidth="1"/>
    <col min="7" max="7" width="11.6640625" bestFit="1" customWidth="1"/>
  </cols>
  <sheetData>
    <row r="2" spans="2:7" x14ac:dyDescent="0.2">
      <c r="B2" s="4" t="s">
        <v>2</v>
      </c>
      <c r="C2">
        <v>5120</v>
      </c>
    </row>
    <row r="4" spans="2:7" x14ac:dyDescent="0.2">
      <c r="B4" s="4" t="s">
        <v>0</v>
      </c>
      <c r="C4" s="1">
        <v>0.7</v>
      </c>
    </row>
    <row r="5" spans="2:7" x14ac:dyDescent="0.2">
      <c r="B5" s="4" t="s">
        <v>1</v>
      </c>
      <c r="C5" s="1">
        <v>0.3</v>
      </c>
    </row>
    <row r="7" spans="2:7" x14ac:dyDescent="0.2">
      <c r="B7" s="4" t="s">
        <v>6</v>
      </c>
      <c r="C7" s="4" t="s">
        <v>7</v>
      </c>
      <c r="D7" s="4" t="s">
        <v>8</v>
      </c>
      <c r="E7" s="4" t="s">
        <v>9</v>
      </c>
      <c r="F7" s="4" t="s">
        <v>11</v>
      </c>
      <c r="G7" s="4" t="s">
        <v>10</v>
      </c>
    </row>
    <row r="8" spans="2:7" x14ac:dyDescent="0.2">
      <c r="B8" t="s">
        <v>3</v>
      </c>
      <c r="C8" s="2">
        <v>0.6</v>
      </c>
      <c r="D8">
        <v>50</v>
      </c>
      <c r="E8">
        <v>60</v>
      </c>
      <c r="F8">
        <f>E8*D8</f>
        <v>3000</v>
      </c>
      <c r="G8" s="3">
        <f>F8/404.7</f>
        <v>7.4128984432913274</v>
      </c>
    </row>
    <row r="9" spans="2:7" x14ac:dyDescent="0.2">
      <c r="B9" t="s">
        <v>19</v>
      </c>
      <c r="C9" s="2">
        <v>0.05</v>
      </c>
      <c r="D9">
        <v>90</v>
      </c>
      <c r="E9">
        <v>20</v>
      </c>
      <c r="F9">
        <f>E9*D9</f>
        <v>1800</v>
      </c>
      <c r="G9" s="3">
        <f>F9/404.7</f>
        <v>4.4477390659747966</v>
      </c>
    </row>
    <row r="10" spans="2:7" x14ac:dyDescent="0.2">
      <c r="B10" t="s">
        <v>5</v>
      </c>
      <c r="C10" s="2">
        <v>0.35</v>
      </c>
      <c r="D10" t="s">
        <v>12</v>
      </c>
    </row>
    <row r="11" spans="2:7" x14ac:dyDescent="0.2">
      <c r="C11" t="s">
        <v>22</v>
      </c>
    </row>
    <row r="13" spans="2:7" x14ac:dyDescent="0.2">
      <c r="B1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5E9CF-2D86-EC4C-AE3F-E3464696C19B}">
  <dimension ref="B2:E16"/>
  <sheetViews>
    <sheetView zoomScale="160" zoomScaleNormal="251" workbookViewId="0">
      <selection activeCell="D9" sqref="D9"/>
    </sheetView>
  </sheetViews>
  <sheetFormatPr baseColWidth="10" defaultRowHeight="16" x14ac:dyDescent="0.2"/>
  <cols>
    <col min="4" max="4" width="14.83203125" customWidth="1"/>
  </cols>
  <sheetData>
    <row r="2" spans="2:5" x14ac:dyDescent="0.2">
      <c r="B2" s="4" t="s">
        <v>2</v>
      </c>
      <c r="C2">
        <v>4636</v>
      </c>
    </row>
    <row r="4" spans="2:5" x14ac:dyDescent="0.2">
      <c r="B4" s="4" t="s">
        <v>0</v>
      </c>
      <c r="C4" s="1">
        <v>0.9</v>
      </c>
    </row>
    <row r="5" spans="2:5" x14ac:dyDescent="0.2">
      <c r="B5" s="4" t="s">
        <v>1</v>
      </c>
      <c r="C5" s="1">
        <v>0.1</v>
      </c>
    </row>
    <row r="7" spans="2:5" x14ac:dyDescent="0.2">
      <c r="B7" s="4" t="s">
        <v>6</v>
      </c>
      <c r="C7" s="4" t="s">
        <v>7</v>
      </c>
      <c r="D7" s="4" t="s">
        <v>20</v>
      </c>
      <c r="E7" s="4" t="s">
        <v>10</v>
      </c>
    </row>
    <row r="8" spans="2:5" x14ac:dyDescent="0.2">
      <c r="B8" t="s">
        <v>3</v>
      </c>
      <c r="C8" s="2">
        <v>0.2</v>
      </c>
      <c r="D8">
        <v>1.5</v>
      </c>
      <c r="E8">
        <f>D8*0.404686</f>
        <v>0.60702900000000004</v>
      </c>
    </row>
    <row r="9" spans="2:5" x14ac:dyDescent="0.2">
      <c r="B9" t="s">
        <v>4</v>
      </c>
      <c r="C9" s="2">
        <v>0.4</v>
      </c>
      <c r="D9">
        <v>50</v>
      </c>
      <c r="E9">
        <f t="shared" ref="E9:E15" si="0">D9*0.404686</f>
        <v>20.234300000000001</v>
      </c>
    </row>
    <row r="10" spans="2:5" x14ac:dyDescent="0.2">
      <c r="B10" t="s">
        <v>13</v>
      </c>
      <c r="C10" s="2">
        <v>0.15</v>
      </c>
      <c r="D10">
        <v>1.3</v>
      </c>
      <c r="E10">
        <f t="shared" si="0"/>
        <v>0.5260918</v>
      </c>
    </row>
    <row r="11" spans="2:5" x14ac:dyDescent="0.2">
      <c r="B11" t="s">
        <v>14</v>
      </c>
      <c r="C11" s="2">
        <v>0.15</v>
      </c>
      <c r="D11">
        <v>1.3</v>
      </c>
      <c r="E11">
        <f t="shared" si="0"/>
        <v>0.5260918</v>
      </c>
    </row>
    <row r="12" spans="2:5" x14ac:dyDescent="0.2">
      <c r="B12" t="s">
        <v>15</v>
      </c>
      <c r="C12" s="2">
        <v>0.03</v>
      </c>
      <c r="D12">
        <v>10</v>
      </c>
      <c r="E12">
        <f t="shared" si="0"/>
        <v>4.0468599999999997</v>
      </c>
    </row>
    <row r="13" spans="2:5" x14ac:dyDescent="0.2">
      <c r="B13" t="s">
        <v>16</v>
      </c>
      <c r="C13" s="2">
        <v>0.03</v>
      </c>
      <c r="D13">
        <v>5</v>
      </c>
      <c r="E13">
        <f t="shared" si="0"/>
        <v>2.0234299999999998</v>
      </c>
    </row>
    <row r="14" spans="2:5" x14ac:dyDescent="0.2">
      <c r="B14" t="s">
        <v>17</v>
      </c>
      <c r="C14" s="2">
        <v>0.02</v>
      </c>
      <c r="D14">
        <v>3</v>
      </c>
      <c r="E14">
        <f t="shared" si="0"/>
        <v>1.2140580000000001</v>
      </c>
    </row>
    <row r="15" spans="2:5" x14ac:dyDescent="0.2">
      <c r="B15" t="s">
        <v>18</v>
      </c>
      <c r="C15" s="2">
        <v>0.02</v>
      </c>
      <c r="D15">
        <v>2</v>
      </c>
      <c r="E15">
        <f t="shared" si="0"/>
        <v>0.80937199999999998</v>
      </c>
    </row>
    <row r="16" spans="2:5" x14ac:dyDescent="0.2">
      <c r="C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Mumberes</vt:lpstr>
      <vt:lpstr>Lanyuak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Bendre, Mihir Y</dc:creator>
  <cp:lastModifiedBy>Bendre, Mihir Y</cp:lastModifiedBy>
  <dcterms:created xsi:type="dcterms:W3CDTF">2025-10-29T20:46:55Z</dcterms:created>
  <dcterms:modified xsi:type="dcterms:W3CDTF">2026-02-12T16:23:45Z</dcterms:modified>
</cp:coreProperties>
</file>