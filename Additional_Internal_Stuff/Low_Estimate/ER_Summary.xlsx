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Low_Estimate/"/>
    </mc:Choice>
  </mc:AlternateContent>
  <xr:revisionPtr revIDLastSave="0" documentId="13_ncr:1_{7B7CE926-5C8F-124C-BACC-9C5DE763BD77}" xr6:coauthVersionLast="47" xr6:coauthVersionMax="47" xr10:uidLastSave="{00000000-0000-0000-0000-000000000000}"/>
  <bookViews>
    <workbookView xWindow="0" yWindow="720" windowWidth="29400" windowHeight="18400" activeTab="1" xr2:uid="{72AD1D35-862B-EB40-AF7A-21135E5EFD45}"/>
  </bookViews>
  <sheets>
    <sheet name="Summary" sheetId="6" r:id="rId1"/>
    <sheet name="Additional_Coop_Projections" sheetId="7" r:id="rId2"/>
    <sheet name="Eor" sheetId="1" r:id="rId3"/>
    <sheet name="Lanyuak" sheetId="2" r:id="rId4"/>
    <sheet name="Mumberes" sheetId="3" r:id="rId5"/>
    <sheet name="Kabianga" sheetId="4" r:id="rId6"/>
    <sheet name="Kipsigis" sheetId="5" r:id="rId7"/>
  </sheets>
  <definedNames>
    <definedName name="_xlchart.v1.0" hidden="1">Additional_Coop_Projections!$A$3:$A$12</definedName>
    <definedName name="_xlchart.v1.1" hidden="1">Additional_Coop_Projections!$L$3:$L$12</definedName>
    <definedName name="_xlchart.v2.2" hidden="1">Additional_Coop_Projections!$A$3:$A$12</definedName>
    <definedName name="_xlchart.v2.3" hidden="1">Additional_Coop_Projections!$L$3:$L$12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L5" i="7"/>
  <c r="L6" i="7"/>
  <c r="L7" i="7"/>
  <c r="L8" i="7"/>
  <c r="L9" i="7"/>
  <c r="L10" i="7"/>
  <c r="L11" i="7"/>
  <c r="L12" i="7"/>
  <c r="L3" i="7"/>
  <c r="H50" i="6"/>
  <c r="B15" i="7"/>
  <c r="B14" i="7"/>
  <c r="D6" i="6" l="1"/>
  <c r="F16" i="6"/>
  <c r="E18" i="6"/>
  <c r="F32" i="6"/>
  <c r="E38" i="6"/>
  <c r="F6" i="6"/>
  <c r="D11" i="6"/>
  <c r="D15" i="6"/>
  <c r="D27" i="6"/>
  <c r="D31" i="6"/>
  <c r="D39" i="6"/>
  <c r="D41" i="6"/>
  <c r="D43" i="6"/>
  <c r="B4" i="5"/>
  <c r="F7" i="6" s="1"/>
  <c r="B5" i="5"/>
  <c r="F8" i="6" s="1"/>
  <c r="B6" i="5"/>
  <c r="F9" i="6" s="1"/>
  <c r="B7" i="5"/>
  <c r="F10" i="6" s="1"/>
  <c r="B8" i="5"/>
  <c r="F11" i="6" s="1"/>
  <c r="B9" i="5"/>
  <c r="F12" i="6" s="1"/>
  <c r="B10" i="5"/>
  <c r="F13" i="6" s="1"/>
  <c r="B11" i="5"/>
  <c r="F14" i="6" s="1"/>
  <c r="B12" i="5"/>
  <c r="F15" i="6" s="1"/>
  <c r="B13" i="5"/>
  <c r="B14" i="5"/>
  <c r="F17" i="6" s="1"/>
  <c r="B15" i="5"/>
  <c r="F18" i="6" s="1"/>
  <c r="B16" i="5"/>
  <c r="F19" i="6" s="1"/>
  <c r="B17" i="5"/>
  <c r="F20" i="6" s="1"/>
  <c r="B18" i="5"/>
  <c r="F21" i="6" s="1"/>
  <c r="B19" i="5"/>
  <c r="F22" i="6" s="1"/>
  <c r="B20" i="5"/>
  <c r="F23" i="6" s="1"/>
  <c r="B21" i="5"/>
  <c r="F24" i="6" s="1"/>
  <c r="B22" i="5"/>
  <c r="F25" i="6" s="1"/>
  <c r="B23" i="5"/>
  <c r="F26" i="6" s="1"/>
  <c r="B24" i="5"/>
  <c r="F27" i="6" s="1"/>
  <c r="B25" i="5"/>
  <c r="F28" i="6" s="1"/>
  <c r="B26" i="5"/>
  <c r="F29" i="6" s="1"/>
  <c r="B27" i="5"/>
  <c r="F30" i="6" s="1"/>
  <c r="B28" i="5"/>
  <c r="F31" i="6" s="1"/>
  <c r="B29" i="5"/>
  <c r="B30" i="5"/>
  <c r="F33" i="6" s="1"/>
  <c r="B31" i="5"/>
  <c r="F34" i="6" s="1"/>
  <c r="B32" i="5"/>
  <c r="F35" i="6" s="1"/>
  <c r="B33" i="5"/>
  <c r="F36" i="6" s="1"/>
  <c r="B34" i="5"/>
  <c r="F37" i="6" s="1"/>
  <c r="B35" i="5"/>
  <c r="F38" i="6" s="1"/>
  <c r="B36" i="5"/>
  <c r="F39" i="6" s="1"/>
  <c r="B37" i="5"/>
  <c r="F40" i="6" s="1"/>
  <c r="B38" i="5"/>
  <c r="F41" i="6" s="1"/>
  <c r="B39" i="5"/>
  <c r="F42" i="6" s="1"/>
  <c r="B40" i="5"/>
  <c r="F43" i="6" s="1"/>
  <c r="B41" i="5"/>
  <c r="F44" i="6" s="1"/>
  <c r="B42" i="5"/>
  <c r="F45" i="6" s="1"/>
  <c r="B3" i="5"/>
  <c r="C4" i="4"/>
  <c r="E7" i="6" s="1"/>
  <c r="C5" i="4"/>
  <c r="E8" i="6" s="1"/>
  <c r="C6" i="4"/>
  <c r="E9" i="6" s="1"/>
  <c r="C7" i="4"/>
  <c r="E10" i="6" s="1"/>
  <c r="C8" i="4"/>
  <c r="E11" i="6" s="1"/>
  <c r="C9" i="4"/>
  <c r="E12" i="6" s="1"/>
  <c r="C10" i="4"/>
  <c r="E13" i="6" s="1"/>
  <c r="C11" i="4"/>
  <c r="E14" i="6" s="1"/>
  <c r="C12" i="4"/>
  <c r="E15" i="6" s="1"/>
  <c r="C13" i="4"/>
  <c r="E16" i="6" s="1"/>
  <c r="C14" i="4"/>
  <c r="E17" i="6" s="1"/>
  <c r="C15" i="4"/>
  <c r="C16" i="4"/>
  <c r="E19" i="6" s="1"/>
  <c r="C17" i="4"/>
  <c r="E20" i="6" s="1"/>
  <c r="C18" i="4"/>
  <c r="E21" i="6" s="1"/>
  <c r="C19" i="4"/>
  <c r="E22" i="6" s="1"/>
  <c r="C20" i="4"/>
  <c r="E23" i="6" s="1"/>
  <c r="C21" i="4"/>
  <c r="E24" i="6" s="1"/>
  <c r="C22" i="4"/>
  <c r="E25" i="6" s="1"/>
  <c r="C23" i="4"/>
  <c r="E26" i="6" s="1"/>
  <c r="C24" i="4"/>
  <c r="E27" i="6" s="1"/>
  <c r="C25" i="4"/>
  <c r="E28" i="6" s="1"/>
  <c r="C26" i="4"/>
  <c r="E29" i="6" s="1"/>
  <c r="C27" i="4"/>
  <c r="E30" i="6" s="1"/>
  <c r="C28" i="4"/>
  <c r="E31" i="6" s="1"/>
  <c r="C29" i="4"/>
  <c r="E32" i="6" s="1"/>
  <c r="C30" i="4"/>
  <c r="E33" i="6" s="1"/>
  <c r="C31" i="4"/>
  <c r="E34" i="6" s="1"/>
  <c r="C32" i="4"/>
  <c r="E35" i="6" s="1"/>
  <c r="C33" i="4"/>
  <c r="E36" i="6" s="1"/>
  <c r="C34" i="4"/>
  <c r="E37" i="6" s="1"/>
  <c r="C35" i="4"/>
  <c r="C36" i="4"/>
  <c r="E39" i="6" s="1"/>
  <c r="C37" i="4"/>
  <c r="E40" i="6" s="1"/>
  <c r="C38" i="4"/>
  <c r="E41" i="6" s="1"/>
  <c r="C39" i="4"/>
  <c r="E42" i="6" s="1"/>
  <c r="C40" i="4"/>
  <c r="E43" i="6" s="1"/>
  <c r="C41" i="4"/>
  <c r="E44" i="6" s="1"/>
  <c r="C42" i="4"/>
  <c r="E45" i="6" s="1"/>
  <c r="C3" i="4"/>
  <c r="E6" i="6" s="1"/>
  <c r="E3" i="2"/>
  <c r="C6" i="6" s="1"/>
  <c r="E4" i="3"/>
  <c r="D7" i="6" s="1"/>
  <c r="E5" i="3"/>
  <c r="D8" i="6" s="1"/>
  <c r="E6" i="3"/>
  <c r="D9" i="6" s="1"/>
  <c r="E7" i="3"/>
  <c r="D10" i="6" s="1"/>
  <c r="E8" i="3"/>
  <c r="E9" i="3"/>
  <c r="D12" i="6" s="1"/>
  <c r="E10" i="3"/>
  <c r="D13" i="6" s="1"/>
  <c r="E11" i="3"/>
  <c r="D14" i="6" s="1"/>
  <c r="E12" i="3"/>
  <c r="E13" i="3"/>
  <c r="D16" i="6" s="1"/>
  <c r="E14" i="3"/>
  <c r="D17" i="6" s="1"/>
  <c r="E15" i="3"/>
  <c r="D18" i="6" s="1"/>
  <c r="E16" i="3"/>
  <c r="D19" i="6" s="1"/>
  <c r="E17" i="3"/>
  <c r="D20" i="6" s="1"/>
  <c r="E18" i="3"/>
  <c r="D21" i="6" s="1"/>
  <c r="E19" i="3"/>
  <c r="D22" i="6" s="1"/>
  <c r="E20" i="3"/>
  <c r="D23" i="6" s="1"/>
  <c r="E21" i="3"/>
  <c r="D24" i="6" s="1"/>
  <c r="E22" i="3"/>
  <c r="D25" i="6" s="1"/>
  <c r="E23" i="3"/>
  <c r="D26" i="6" s="1"/>
  <c r="E24" i="3"/>
  <c r="E25" i="3"/>
  <c r="D28" i="6" s="1"/>
  <c r="E26" i="3"/>
  <c r="D29" i="6" s="1"/>
  <c r="E27" i="3"/>
  <c r="D30" i="6" s="1"/>
  <c r="E28" i="3"/>
  <c r="E29" i="3"/>
  <c r="D32" i="6" s="1"/>
  <c r="E30" i="3"/>
  <c r="D33" i="6" s="1"/>
  <c r="E31" i="3"/>
  <c r="D34" i="6" s="1"/>
  <c r="E32" i="3"/>
  <c r="D35" i="6" s="1"/>
  <c r="E33" i="3"/>
  <c r="D36" i="6" s="1"/>
  <c r="E34" i="3"/>
  <c r="D37" i="6" s="1"/>
  <c r="E35" i="3"/>
  <c r="D38" i="6" s="1"/>
  <c r="E36" i="3"/>
  <c r="E37" i="3"/>
  <c r="D40" i="6" s="1"/>
  <c r="E38" i="3"/>
  <c r="E39" i="3"/>
  <c r="D42" i="6" s="1"/>
  <c r="E40" i="3"/>
  <c r="E41" i="3"/>
  <c r="D44" i="6" s="1"/>
  <c r="E42" i="3"/>
  <c r="D45" i="6" s="1"/>
  <c r="E3" i="3"/>
  <c r="E4" i="2"/>
  <c r="C7" i="6" s="1"/>
  <c r="E5" i="2"/>
  <c r="C8" i="6" s="1"/>
  <c r="E6" i="2"/>
  <c r="C9" i="6" s="1"/>
  <c r="E7" i="2"/>
  <c r="C10" i="6" s="1"/>
  <c r="E8" i="2"/>
  <c r="C11" i="6" s="1"/>
  <c r="E9" i="2"/>
  <c r="C12" i="6" s="1"/>
  <c r="E10" i="2"/>
  <c r="C13" i="6" s="1"/>
  <c r="E11" i="2"/>
  <c r="C14" i="6" s="1"/>
  <c r="E12" i="2"/>
  <c r="C15" i="6" s="1"/>
  <c r="E13" i="2"/>
  <c r="C16" i="6" s="1"/>
  <c r="E14" i="2"/>
  <c r="C17" i="6" s="1"/>
  <c r="E15" i="2"/>
  <c r="C18" i="6" s="1"/>
  <c r="E16" i="2"/>
  <c r="C19" i="6" s="1"/>
  <c r="E17" i="2"/>
  <c r="C20" i="6" s="1"/>
  <c r="E18" i="2"/>
  <c r="C21" i="6" s="1"/>
  <c r="E19" i="2"/>
  <c r="C22" i="6" s="1"/>
  <c r="E20" i="2"/>
  <c r="C23" i="6" s="1"/>
  <c r="E21" i="2"/>
  <c r="C24" i="6" s="1"/>
  <c r="E22" i="2"/>
  <c r="C25" i="6" s="1"/>
  <c r="E23" i="2"/>
  <c r="C26" i="6" s="1"/>
  <c r="E24" i="2"/>
  <c r="C27" i="6" s="1"/>
  <c r="E25" i="2"/>
  <c r="C28" i="6" s="1"/>
  <c r="E26" i="2"/>
  <c r="C29" i="6" s="1"/>
  <c r="E27" i="2"/>
  <c r="C30" i="6" s="1"/>
  <c r="E28" i="2"/>
  <c r="C31" i="6" s="1"/>
  <c r="E29" i="2"/>
  <c r="C32" i="6" s="1"/>
  <c r="E30" i="2"/>
  <c r="C33" i="6" s="1"/>
  <c r="E31" i="2"/>
  <c r="C34" i="6" s="1"/>
  <c r="E32" i="2"/>
  <c r="C35" i="6" s="1"/>
  <c r="E33" i="2"/>
  <c r="C36" i="6" s="1"/>
  <c r="E34" i="2"/>
  <c r="C37" i="6" s="1"/>
  <c r="E35" i="2"/>
  <c r="C38" i="6" s="1"/>
  <c r="E36" i="2"/>
  <c r="C39" i="6" s="1"/>
  <c r="E37" i="2"/>
  <c r="C40" i="6" s="1"/>
  <c r="E38" i="2"/>
  <c r="C41" i="6" s="1"/>
  <c r="E39" i="2"/>
  <c r="C42" i="6" s="1"/>
  <c r="E40" i="2"/>
  <c r="C43" i="6" s="1"/>
  <c r="E41" i="2"/>
  <c r="C44" i="6" s="1"/>
  <c r="E42" i="2"/>
  <c r="C45" i="6" s="1"/>
  <c r="C4" i="1"/>
  <c r="B7" i="6" s="1"/>
  <c r="C5" i="1"/>
  <c r="B8" i="6" s="1"/>
  <c r="C6" i="1"/>
  <c r="B9" i="6" s="1"/>
  <c r="C7" i="1"/>
  <c r="B10" i="6" s="1"/>
  <c r="C8" i="1"/>
  <c r="B11" i="6" s="1"/>
  <c r="C9" i="1"/>
  <c r="B12" i="6" s="1"/>
  <c r="C10" i="1"/>
  <c r="B13" i="6" s="1"/>
  <c r="C11" i="1"/>
  <c r="B14" i="6" s="1"/>
  <c r="C12" i="1"/>
  <c r="B15" i="6" s="1"/>
  <c r="C13" i="1"/>
  <c r="B16" i="6" s="1"/>
  <c r="C14" i="1"/>
  <c r="B17" i="6" s="1"/>
  <c r="C15" i="1"/>
  <c r="B18" i="6" s="1"/>
  <c r="C16" i="1"/>
  <c r="B19" i="6" s="1"/>
  <c r="C17" i="1"/>
  <c r="B20" i="6" s="1"/>
  <c r="C18" i="1"/>
  <c r="B21" i="6" s="1"/>
  <c r="C19" i="1"/>
  <c r="B22" i="6" s="1"/>
  <c r="C20" i="1"/>
  <c r="B23" i="6" s="1"/>
  <c r="C21" i="1"/>
  <c r="B24" i="6" s="1"/>
  <c r="C22" i="1"/>
  <c r="B25" i="6" s="1"/>
  <c r="C23" i="1"/>
  <c r="B26" i="6" s="1"/>
  <c r="C24" i="1"/>
  <c r="B27" i="6" s="1"/>
  <c r="C25" i="1"/>
  <c r="B28" i="6" s="1"/>
  <c r="C26" i="1"/>
  <c r="B29" i="6" s="1"/>
  <c r="C27" i="1"/>
  <c r="B30" i="6" s="1"/>
  <c r="C28" i="1"/>
  <c r="B31" i="6" s="1"/>
  <c r="C29" i="1"/>
  <c r="B32" i="6" s="1"/>
  <c r="C30" i="1"/>
  <c r="B33" i="6" s="1"/>
  <c r="C31" i="1"/>
  <c r="B34" i="6" s="1"/>
  <c r="C32" i="1"/>
  <c r="B35" i="6" s="1"/>
  <c r="C33" i="1"/>
  <c r="B36" i="6" s="1"/>
  <c r="C34" i="1"/>
  <c r="B37" i="6" s="1"/>
  <c r="C35" i="1"/>
  <c r="B38" i="6" s="1"/>
  <c r="C36" i="1"/>
  <c r="B39" i="6" s="1"/>
  <c r="C37" i="1"/>
  <c r="B40" i="6" s="1"/>
  <c r="C38" i="1"/>
  <c r="B41" i="6" s="1"/>
  <c r="C39" i="1"/>
  <c r="B42" i="6" s="1"/>
  <c r="C40" i="1"/>
  <c r="B43" i="6" s="1"/>
  <c r="C41" i="1"/>
  <c r="B44" i="6" s="1"/>
  <c r="C42" i="1"/>
  <c r="B45" i="6" s="1"/>
  <c r="C3" i="1"/>
  <c r="B6" i="6" s="1"/>
  <c r="H41" i="6" l="1"/>
  <c r="H33" i="6"/>
  <c r="H25" i="6"/>
  <c r="H17" i="6"/>
  <c r="H9" i="6"/>
  <c r="H11" i="6"/>
  <c r="H39" i="6"/>
  <c r="H23" i="6"/>
  <c r="H15" i="6"/>
  <c r="H7" i="6"/>
  <c r="H38" i="6"/>
  <c r="H30" i="6"/>
  <c r="H14" i="6"/>
  <c r="H42" i="6"/>
  <c r="H31" i="6"/>
  <c r="H45" i="6"/>
  <c r="H37" i="6"/>
  <c r="H29" i="6"/>
  <c r="H21" i="6"/>
  <c r="H13" i="6"/>
  <c r="H24" i="6"/>
  <c r="H32" i="6"/>
  <c r="H40" i="6"/>
  <c r="H16" i="6"/>
  <c r="H43" i="6"/>
  <c r="H18" i="6"/>
  <c r="H26" i="6"/>
  <c r="H12" i="6"/>
  <c r="H35" i="6"/>
  <c r="H22" i="6"/>
  <c r="H8" i="6"/>
  <c r="H36" i="6"/>
  <c r="H20" i="6"/>
  <c r="H28" i="6"/>
  <c r="H27" i="6"/>
  <c r="H10" i="6"/>
  <c r="H34" i="6"/>
  <c r="H44" i="6"/>
  <c r="H19" i="6"/>
  <c r="H6" i="6"/>
  <c r="H47" i="6" l="1"/>
  <c r="H48" i="6" s="1"/>
</calcChain>
</file>

<file path=xl/sharedStrings.xml><?xml version="1.0" encoding="utf-8"?>
<sst xmlns="http://schemas.openxmlformats.org/spreadsheetml/2006/main" count="43" uniqueCount="24">
  <si>
    <t>Maize</t>
  </si>
  <si>
    <t>Potato</t>
  </si>
  <si>
    <t>Aggregate (tCO2e/yr)</t>
  </si>
  <si>
    <t>Wheat</t>
  </si>
  <si>
    <t>Barley</t>
  </si>
  <si>
    <t>Nth Soil type</t>
  </si>
  <si>
    <t>Ntu Soil type</t>
  </si>
  <si>
    <t>Nth</t>
  </si>
  <si>
    <t>Ntu</t>
  </si>
  <si>
    <t>Area (ha)</t>
  </si>
  <si>
    <t>Tea</t>
  </si>
  <si>
    <t>Napier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</si>
  <si>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</si>
  <si>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</si>
  <si>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</si>
  <si>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</si>
  <si>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</si>
  <si>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</si>
  <si>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</si>
  <si>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</si>
  <si>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</si>
  <si>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</si>
  <si>
    <t xml:space="preserve">Total Coops --&gt; </t>
  </si>
  <si>
    <t>ER/yr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</si>
</sst>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0"/>
      <color theme="1"/>
      <name val="ArialMT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43" fontId="3" fillId="0" borderId="0" xfId="1" applyFont="1"/>
    <xf numFmtId="43" fontId="4" fillId="0" borderId="0" xfId="1" applyFont="1"/>
    <xf numFmtId="1" fontId="0" fillId="0" borderId="0" xfId="1" applyNumberFormat="1" applyFont="1"/>
    <xf numFmtId="0" fontId="5" fillId="0" borderId="0" xfId="0" applyFont="1"/>
    <xf numFmtId="43" fontId="2" fillId="0" borderId="1" xfId="1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0" fillId="0" borderId="0" xfId="0" applyNumberFormat="1"/>
    <xf numFmtId="43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Summary!$B$6:$B$45</c:f>
              <c:numCache>
                <c:formatCode>_(* #,##0.00_);_(* \(#,##0.00\);_(* "-"??_);_(@_)</c:formatCode>
                <c:ptCount val="40"/>
                <c:pt idx="0">
                  <c:v>69130.689395195892</c:v>
                </c:pt>
                <c:pt idx="1">
                  <c:v>39138.31464429215</c:v>
                </c:pt>
                <c:pt idx="2">
                  <c:v>26671.798839738251</c:v>
                </c:pt>
                <c:pt idx="3">
                  <c:v>19902.155268089839</c:v>
                </c:pt>
                <c:pt idx="4">
                  <c:v>16090.07288799687</c:v>
                </c:pt>
                <c:pt idx="5">
                  <c:v>13833.705361061368</c:v>
                </c:pt>
                <c:pt idx="6">
                  <c:v>12405.245890305207</c:v>
                </c:pt>
                <c:pt idx="7">
                  <c:v>11423.537777729693</c:v>
                </c:pt>
                <c:pt idx="8">
                  <c:v>10687.827059350577</c:v>
                </c:pt>
                <c:pt idx="9">
                  <c:v>10091.886980842808</c:v>
                </c:pt>
                <c:pt idx="10">
                  <c:v>9579.218915733265</c:v>
                </c:pt>
                <c:pt idx="11">
                  <c:v>9119.5506618533327</c:v>
                </c:pt>
                <c:pt idx="12">
                  <c:v>8696.4682574837207</c:v>
                </c:pt>
                <c:pt idx="13">
                  <c:v>8300.8950618883318</c:v>
                </c:pt>
                <c:pt idx="14">
                  <c:v>7927.6497912172263</c:v>
                </c:pt>
                <c:pt idx="15">
                  <c:v>7573.6282080551191</c:v>
                </c:pt>
                <c:pt idx="16">
                  <c:v>7236.8417605999366</c:v>
                </c:pt>
                <c:pt idx="17">
                  <c:v>6915.9087544700787</c:v>
                </c:pt>
                <c:pt idx="18">
                  <c:v>6609.7845891436154</c:v>
                </c:pt>
                <c:pt idx="19">
                  <c:v>6317.618335216921</c:v>
                </c:pt>
                <c:pt idx="20">
                  <c:v>6038.676111660634</c:v>
                </c:pt>
                <c:pt idx="21">
                  <c:v>5772.2998072671035</c:v>
                </c:pt>
                <c:pt idx="22">
                  <c:v>5517.8845247170211</c:v>
                </c:pt>
                <c:pt idx="23">
                  <c:v>5274.8659622594105</c:v>
                </c:pt>
                <c:pt idx="24">
                  <c:v>5042.7130882326273</c:v>
                </c:pt>
                <c:pt idx="25">
                  <c:v>4820.9236513839096</c:v>
                </c:pt>
                <c:pt idx="26">
                  <c:v>4609.0212259922528</c:v>
                </c:pt>
                <c:pt idx="27">
                  <c:v>4406.5531019354157</c:v>
                </c:pt>
                <c:pt idx="28">
                  <c:v>4213.0886528585015</c:v>
                </c:pt>
                <c:pt idx="29">
                  <c:v>4028.2179865461039</c:v>
                </c:pt>
                <c:pt idx="30">
                  <c:v>3851.5507720136238</c:v>
                </c:pt>
                <c:pt idx="31">
                  <c:v>3682.7151858185371</c:v>
                </c:pt>
                <c:pt idx="32">
                  <c:v>3521.3569455441375</c:v>
                </c:pt>
                <c:pt idx="33">
                  <c:v>3367.1384119871791</c:v>
                </c:pt>
                <c:pt idx="34">
                  <c:v>3219.7377488822258</c:v>
                </c:pt>
                <c:pt idx="35">
                  <c:v>3078.8481329323613</c:v>
                </c:pt>
                <c:pt idx="36">
                  <c:v>2944.17700910651</c:v>
                </c:pt>
                <c:pt idx="37">
                  <c:v>2815.44538740798</c:v>
                </c:pt>
                <c:pt idx="38">
                  <c:v>2692.3871780411309</c:v>
                </c:pt>
                <c:pt idx="39">
                  <c:v>2574.7485623724842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Summary!$C$6:$C$45</c:f>
              <c:numCache>
                <c:formatCode>_(* #,##0.00_);_(* \(#,##0.00\);_(* "-"??_);_(@_)</c:formatCode>
                <c:ptCount val="40"/>
                <c:pt idx="0">
                  <c:v>65907.171375145947</c:v>
                </c:pt>
                <c:pt idx="1">
                  <c:v>37313.493037874185</c:v>
                </c:pt>
                <c:pt idx="2">
                  <c:v>25428.49100079012</c:v>
                </c:pt>
                <c:pt idx="3">
                  <c:v>18974.726420700204</c:v>
                </c:pt>
                <c:pt idx="4">
                  <c:v>15340.604476309392</c:v>
                </c:pt>
                <c:pt idx="5">
                  <c:v>13189.639720471892</c:v>
                </c:pt>
                <c:pt idx="6">
                  <c:v>11827.960881081501</c:v>
                </c:pt>
                <c:pt idx="7">
                  <c:v>10892.184667759273</c:v>
                </c:pt>
                <c:pt idx="8">
                  <c:v>10190.919154044586</c:v>
                </c:pt>
                <c:pt idx="9">
                  <c:v>9622.89204263188</c:v>
                </c:pt>
                <c:pt idx="10">
                  <c:v>9134.2403385179859</c:v>
                </c:pt>
                <c:pt idx="11">
                  <c:v>8696.1044573617419</c:v>
                </c:pt>
                <c:pt idx="12">
                  <c:v>8292.8367573642845</c:v>
                </c:pt>
                <c:pt idx="13">
                  <c:v>7915.7846974964577</c:v>
                </c:pt>
                <c:pt idx="14">
                  <c:v>7560.0093836727738</c:v>
                </c:pt>
                <c:pt idx="15">
                  <c:v>7222.5520565778424</c:v>
                </c:pt>
                <c:pt idx="16">
                  <c:v>6901.5175673190051</c:v>
                </c:pt>
                <c:pt idx="17">
                  <c:v>6595.5892820207609</c:v>
                </c:pt>
                <c:pt idx="18">
                  <c:v>6303.771901892429</c:v>
                </c:pt>
                <c:pt idx="19">
                  <c:v>6025.254731741793</c:v>
                </c:pt>
                <c:pt idx="20">
                  <c:v>5759.3386328798761</c:v>
                </c:pt>
                <c:pt idx="21">
                  <c:v>5505.396671631257</c:v>
                </c:pt>
                <c:pt idx="22">
                  <c:v>5262.8526171154663</c:v>
                </c:pt>
                <c:pt idx="23">
                  <c:v>5031.1689130339437</c:v>
                </c:pt>
                <c:pt idx="24">
                  <c:v>4809.839695341585</c:v>
                </c:pt>
                <c:pt idx="25">
                  <c:v>4598.3865133660747</c:v>
                </c:pt>
                <c:pt idx="26">
                  <c:v>4396.3555140729859</c:v>
                </c:pt>
                <c:pt idx="27">
                  <c:v>4203.3154317977105</c:v>
                </c:pt>
                <c:pt idx="28">
                  <c:v>4018.8560337167028</c:v>
                </c:pt>
                <c:pt idx="29">
                  <c:v>3842.5868342997146</c:v>
                </c:pt>
                <c:pt idx="30">
                  <c:v>3674.135978187368</c:v>
                </c:pt>
                <c:pt idx="31">
                  <c:v>3513.149236670446</c:v>
                </c:pt>
                <c:pt idx="32">
                  <c:v>3359.2890872293419</c:v>
                </c:pt>
                <c:pt idx="33">
                  <c:v>3212.2338585267253</c:v>
                </c:pt>
                <c:pt idx="34">
                  <c:v>3071.6769302007042</c:v>
                </c:pt>
                <c:pt idx="35">
                  <c:v>2937.3259805822727</c:v>
                </c:pt>
                <c:pt idx="36">
                  <c:v>2808.90227752176</c:v>
                </c:pt>
                <c:pt idx="37">
                  <c:v>2686.1400087148313</c:v>
                </c:pt>
                <c:pt idx="38">
                  <c:v>2568.7856485947782</c:v>
                </c:pt>
                <c:pt idx="39">
                  <c:v>2456.5973593167637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Summary!$D$6:$D$45</c:f>
              <c:numCache>
                <c:formatCode>_(* #,##0.00_);_(* \(#,##0.00\);_(* "-"??_);_(@_)</c:formatCode>
                <c:ptCount val="40"/>
                <c:pt idx="0">
                  <c:v>30178.507349978001</c:v>
                </c:pt>
                <c:pt idx="1">
                  <c:v>15842.027898957</c:v>
                </c:pt>
                <c:pt idx="2">
                  <c:v>9922.6519113020004</c:v>
                </c:pt>
                <c:pt idx="3">
                  <c:v>6748.8770022829995</c:v>
                </c:pt>
                <c:pt idx="4">
                  <c:v>4998.0177740284998</c:v>
                </c:pt>
                <c:pt idx="5">
                  <c:v>3993.9623541518999</c:v>
                </c:pt>
                <c:pt idx="6">
                  <c:v>3386.2099275134001</c:v>
                </c:pt>
                <c:pt idx="7">
                  <c:v>2991.4736503197</c:v>
                </c:pt>
                <c:pt idx="8">
                  <c:v>2713.3420477982004</c:v>
                </c:pt>
                <c:pt idx="9">
                  <c:v>2500.8472547863998</c:v>
                </c:pt>
                <c:pt idx="10">
                  <c:v>2326.8909877927999</c:v>
                </c:pt>
                <c:pt idx="11">
                  <c:v>2176.9460212734002</c:v>
                </c:pt>
                <c:pt idx="12">
                  <c:v>2043.1227216556001</c:v>
                </c:pt>
                <c:pt idx="13">
                  <c:v>1921.0451409122998</c:v>
                </c:pt>
                <c:pt idx="14">
                  <c:v>1808.2036271936001</c:v>
                </c:pt>
                <c:pt idx="15">
                  <c:v>1703.0870330058001</c:v>
                </c:pt>
                <c:pt idx="16">
                  <c:v>1604.7228104414</c:v>
                </c:pt>
                <c:pt idx="17">
                  <c:v>1512.4343884832001</c:v>
                </c:pt>
                <c:pt idx="18">
                  <c:v>1425.7112073230001</c:v>
                </c:pt>
                <c:pt idx="19">
                  <c:v>1344.141396689</c:v>
                </c:pt>
                <c:pt idx="20">
                  <c:v>1267.3742104048999</c:v>
                </c:pt>
                <c:pt idx="21">
                  <c:v>1195.0987607078</c:v>
                </c:pt>
                <c:pt idx="22">
                  <c:v>1127.0335491909</c:v>
                </c:pt>
                <c:pt idx="23">
                  <c:v>1062.9205967939001</c:v>
                </c:pt>
                <c:pt idx="24">
                  <c:v>1002.5214605822</c:v>
                </c:pt>
                <c:pt idx="25">
                  <c:v>945.61203197500004</c:v>
                </c:pt>
                <c:pt idx="26">
                  <c:v>891.98482971780004</c:v>
                </c:pt>
                <c:pt idx="27">
                  <c:v>841.44542284530007</c:v>
                </c:pt>
                <c:pt idx="28">
                  <c:v>793.81113351409999</c:v>
                </c:pt>
                <c:pt idx="29">
                  <c:v>748.91048668929989</c:v>
                </c:pt>
                <c:pt idx="30">
                  <c:v>706.58314463099987</c:v>
                </c:pt>
                <c:pt idx="31">
                  <c:v>666.67834767299996</c:v>
                </c:pt>
                <c:pt idx="32">
                  <c:v>629.0545735526</c:v>
                </c:pt>
                <c:pt idx="33">
                  <c:v>593.57875124859993</c:v>
                </c:pt>
                <c:pt idx="34">
                  <c:v>560.1259334138</c:v>
                </c:pt>
                <c:pt idx="35">
                  <c:v>528.5783922887</c:v>
                </c:pt>
                <c:pt idx="36">
                  <c:v>498.82596037169998</c:v>
                </c:pt>
                <c:pt idx="37">
                  <c:v>470.7649035869</c:v>
                </c:pt>
                <c:pt idx="38">
                  <c:v>444.29731855990002</c:v>
                </c:pt>
                <c:pt idx="39">
                  <c:v>419.3311195151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Summary!$E$6:$E$45</c:f>
              <c:numCache>
                <c:formatCode>_(* #,##0.00_);_(* \(#,##0.00\);_(* "-"??_);_(@_)</c:formatCode>
                <c:ptCount val="40"/>
                <c:pt idx="0">
                  <c:v>220922.51209236</c:v>
                </c:pt>
                <c:pt idx="1">
                  <c:v>115734.92698060122</c:v>
                </c:pt>
                <c:pt idx="2">
                  <c:v>72129.447754306515</c:v>
                </c:pt>
                <c:pt idx="3">
                  <c:v>48624.917259883296</c:v>
                </c:pt>
                <c:pt idx="4">
                  <c:v>35559.392377719458</c:v>
                </c:pt>
                <c:pt idx="5">
                  <c:v>27990.640845560574</c:v>
                </c:pt>
                <c:pt idx="6">
                  <c:v>23353.587008119888</c:v>
                </c:pt>
                <c:pt idx="7">
                  <c:v>20304.641555281007</c:v>
                </c:pt>
                <c:pt idx="8">
                  <c:v>18135.353092251749</c:v>
                </c:pt>
                <c:pt idx="9">
                  <c:v>16469.851068282274</c:v>
                </c:pt>
                <c:pt idx="10">
                  <c:v>15107.181796076697</c:v>
                </c:pt>
                <c:pt idx="11">
                  <c:v>13938.68055984531</c:v>
                </c:pt>
                <c:pt idx="12">
                  <c:v>12904.523176089628</c:v>
                </c:pt>
                <c:pt idx="13">
                  <c:v>11970.831069951097</c:v>
                </c:pt>
                <c:pt idx="14">
                  <c:v>11117.587937503586</c:v>
                </c:pt>
                <c:pt idx="15">
                  <c:v>10332.252722388883</c:v>
                </c:pt>
                <c:pt idx="16">
                  <c:v>9606.3769717712803</c:v>
                </c:pt>
                <c:pt idx="17">
                  <c:v>8933.8080693794327</c:v>
                </c:pt>
                <c:pt idx="18">
                  <c:v>8309.7302674482053</c:v>
                </c:pt>
                <c:pt idx="19">
                  <c:v>7730.148783291952</c:v>
                </c:pt>
                <c:pt idx="20">
                  <c:v>7191.6085783035651</c:v>
                </c:pt>
                <c:pt idx="21">
                  <c:v>6691.0377610538817</c:v>
                </c:pt>
                <c:pt idx="22">
                  <c:v>6225.6574509854827</c:v>
                </c:pt>
                <c:pt idx="23">
                  <c:v>5792.9273366916123</c:v>
                </c:pt>
                <c:pt idx="24">
                  <c:v>5390.5106313718989</c:v>
                </c:pt>
                <c:pt idx="25">
                  <c:v>5016.2497720125593</c:v>
                </c:pt>
                <c:pt idx="26">
                  <c:v>4668.1482494401416</c:v>
                </c:pt>
                <c:pt idx="27">
                  <c:v>4344.3560940986463</c:v>
                </c:pt>
                <c:pt idx="28">
                  <c:v>4043.1576750325357</c:v>
                </c:pt>
                <c:pt idx="29">
                  <c:v>3762.961070954043</c:v>
                </c:pt>
                <c:pt idx="30">
                  <c:v>3502.288592933146</c:v>
                </c:pt>
                <c:pt idx="31">
                  <c:v>3259.7682101961409</c:v>
                </c:pt>
                <c:pt idx="32">
                  <c:v>3034.1257237598165</c:v>
                </c:pt>
                <c:pt idx="33">
                  <c:v>2824.1775840482123</c:v>
                </c:pt>
                <c:pt idx="34">
                  <c:v>2628.8242776496541</c:v>
                </c:pt>
                <c:pt idx="35">
                  <c:v>2447.0442255119624</c:v>
                </c:pt>
                <c:pt idx="36">
                  <c:v>2277.8881454892271</c:v>
                </c:pt>
                <c:pt idx="37">
                  <c:v>2120.4738391053802</c:v>
                </c:pt>
                <c:pt idx="38">
                  <c:v>1973.981367497471</c:v>
                </c:pt>
                <c:pt idx="39">
                  <c:v>1837.6485851623183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Summary!$F$6:$F$45</c:f>
              <c:numCache>
                <c:formatCode>_(* #,##0.00_);_(* \(#,##0.00\);_(* "-"??_);_(@_)</c:formatCode>
                <c:ptCount val="40"/>
                <c:pt idx="0">
                  <c:v>143908.26359187983</c:v>
                </c:pt>
                <c:pt idx="1">
                  <c:v>75395.605915317778</c:v>
                </c:pt>
                <c:pt idx="2">
                  <c:v>46998.605152941476</c:v>
                </c:pt>
                <c:pt idx="3">
                  <c:v>31695.127169690928</c:v>
                </c:pt>
                <c:pt idx="4">
                  <c:v>23190.77614160888</c:v>
                </c:pt>
                <c:pt idx="5">
                  <c:v>18266.000827846779</c:v>
                </c:pt>
                <c:pt idx="6">
                  <c:v>15249.923095882592</c:v>
                </c:pt>
                <c:pt idx="7">
                  <c:v>13267.415549519284</c:v>
                </c:pt>
                <c:pt idx="8">
                  <c:v>11857.100214715001</c:v>
                </c:pt>
                <c:pt idx="9">
                  <c:v>10774.240842667316</c:v>
                </c:pt>
                <c:pt idx="10">
                  <c:v>9888.0329355419435</c:v>
                </c:pt>
                <c:pt idx="11">
                  <c:v>9127.7782215874759</c:v>
                </c:pt>
                <c:pt idx="12">
                  <c:v>8454.5828156345506</c:v>
                </c:pt>
                <c:pt idx="13">
                  <c:v>7846.4445757410786</c:v>
                </c:pt>
                <c:pt idx="14">
                  <c:v>7290.3831798686106</c:v>
                </c:pt>
                <c:pt idx="15">
                  <c:v>6778.2806528736855</c:v>
                </c:pt>
                <c:pt idx="16">
                  <c:v>6304.6787872379546</c:v>
                </c:pt>
                <c:pt idx="17">
                  <c:v>5865.6094636200705</c:v>
                </c:pt>
                <c:pt idx="18">
                  <c:v>5457.9706010689051</c:v>
                </c:pt>
                <c:pt idx="19">
                  <c:v>5079.190631742089</c:v>
                </c:pt>
                <c:pt idx="20">
                  <c:v>4727.0457788200911</c:v>
                </c:pt>
                <c:pt idx="21">
                  <c:v>4399.558459224364</c:v>
                </c:pt>
                <c:pt idx="22">
                  <c:v>4094.9389331103175</c:v>
                </c:pt>
                <c:pt idx="23">
                  <c:v>3811.5501661462727</c:v>
                </c:pt>
                <c:pt idx="24">
                  <c:v>3547.8852936339613</c:v>
                </c:pt>
                <c:pt idx="25">
                  <c:v>3302.552053631689</c:v>
                </c:pt>
                <c:pt idx="26">
                  <c:v>3074.261187522894</c:v>
                </c:pt>
                <c:pt idx="27">
                  <c:v>2861.8171984034093</c:v>
                </c:pt>
                <c:pt idx="28">
                  <c:v>2664.1105951015938</c:v>
                </c:pt>
                <c:pt idx="29">
                  <c:v>2480.1111411124903</c:v>
                </c:pt>
                <c:pt idx="30">
                  <c:v>2308.8618363534824</c:v>
                </c:pt>
                <c:pt idx="31">
                  <c:v>2149.4734715040236</c:v>
                </c:pt>
                <c:pt idx="32">
                  <c:v>2001.1196552481763</c:v>
                </c:pt>
                <c:pt idx="33">
                  <c:v>1863.0322481115707</c:v>
                </c:pt>
                <c:pt idx="34">
                  <c:v>1734.4971553359032</c:v>
                </c:pt>
                <c:pt idx="35">
                  <c:v>1614.8504423511949</c:v>
                </c:pt>
                <c:pt idx="36">
                  <c:v>1503.4747431162552</c:v>
                </c:pt>
                <c:pt idx="37">
                  <c:v>1399.7959361570147</c:v>
                </c:pt>
                <c:pt idx="38">
                  <c:v>1303.2800662797888</c:v>
                </c:pt>
                <c:pt idx="39">
                  <c:v>1213.4304922867395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Summary!$H$6:$H$45</c:f>
              <c:numCache>
                <c:formatCode>_(* #,##0.00_);_(* \(#,##0.00\);_(* "-"??_);_(@_)</c:formatCode>
                <c:ptCount val="40"/>
                <c:pt idx="0">
                  <c:v>530047.14380455972</c:v>
                </c:pt>
                <c:pt idx="1">
                  <c:v>283424.3684770423</c:v>
                </c:pt>
                <c:pt idx="2">
                  <c:v>181150.99465907837</c:v>
                </c:pt>
                <c:pt idx="3">
                  <c:v>125945.80312064727</c:v>
                </c:pt>
                <c:pt idx="4">
                  <c:v>95178.863657663096</c:v>
                </c:pt>
                <c:pt idx="5">
                  <c:v>77273.949109092515</c:v>
                </c:pt>
                <c:pt idx="6">
                  <c:v>66222.926802902584</c:v>
                </c:pt>
                <c:pt idx="7">
                  <c:v>58879.253200608953</c:v>
                </c:pt>
                <c:pt idx="8">
                  <c:v>53584.541568160115</c:v>
                </c:pt>
                <c:pt idx="9">
                  <c:v>49459.718189210675</c:v>
                </c:pt>
                <c:pt idx="10">
                  <c:v>46035.564973662687</c:v>
                </c:pt>
                <c:pt idx="11">
                  <c:v>43059.05992192126</c:v>
                </c:pt>
                <c:pt idx="12">
                  <c:v>40391.533728227783</c:v>
                </c:pt>
                <c:pt idx="13">
                  <c:v>37955.000545989264</c:v>
                </c:pt>
                <c:pt idx="14">
                  <c:v>35703.833919455792</c:v>
                </c:pt>
                <c:pt idx="15">
                  <c:v>33609.800672901329</c:v>
                </c:pt>
                <c:pt idx="16">
                  <c:v>31654.137897369576</c:v>
                </c:pt>
                <c:pt idx="17">
                  <c:v>29823.349957973543</c:v>
                </c:pt>
                <c:pt idx="18">
                  <c:v>28106.968566876152</c:v>
                </c:pt>
                <c:pt idx="19">
                  <c:v>26496.353878681752</c:v>
                </c:pt>
                <c:pt idx="20">
                  <c:v>24984.043312069065</c:v>
                </c:pt>
                <c:pt idx="21">
                  <c:v>23563.391459884409</c:v>
                </c:pt>
                <c:pt idx="22">
                  <c:v>22228.367075119189</c:v>
                </c:pt>
                <c:pt idx="23">
                  <c:v>20973.432974925137</c:v>
                </c:pt>
                <c:pt idx="24">
                  <c:v>19793.470169162272</c:v>
                </c:pt>
                <c:pt idx="25">
                  <c:v>18683.724022369235</c:v>
                </c:pt>
                <c:pt idx="26">
                  <c:v>17639.771006746076</c:v>
                </c:pt>
                <c:pt idx="27">
                  <c:v>16657.487249080481</c:v>
                </c:pt>
                <c:pt idx="28">
                  <c:v>15733.024090223435</c:v>
                </c:pt>
                <c:pt idx="29">
                  <c:v>14862.78751960165</c:v>
                </c:pt>
                <c:pt idx="30">
                  <c:v>14043.420324118621</c:v>
                </c:pt>
                <c:pt idx="31">
                  <c:v>13271.784451862148</c:v>
                </c:pt>
                <c:pt idx="32">
                  <c:v>12544.945985334072</c:v>
                </c:pt>
                <c:pt idx="33">
                  <c:v>11860.160853922289</c:v>
                </c:pt>
                <c:pt idx="34">
                  <c:v>11214.862045482287</c:v>
                </c:pt>
                <c:pt idx="35">
                  <c:v>10606.647173666492</c:v>
                </c:pt>
                <c:pt idx="36">
                  <c:v>10033.268135605453</c:v>
                </c:pt>
                <c:pt idx="37">
                  <c:v>9492.6200749721065</c:v>
                </c:pt>
                <c:pt idx="38">
                  <c:v>8982.7315789730692</c:v>
                </c:pt>
                <c:pt idx="39">
                  <c:v>8501.7561186534058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ERs/yr,</a:t>
            </a:r>
            <a:r>
              <a:rPr lang="en-US" baseline="0"/>
              <a:t> w/ +5 coops/yr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Additional_Coop_Projections!$A$3:$A$12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Additional_Coop_Projections!$L$3:$L$12</c:f>
              <c:numCache>
                <c:formatCode>_(* #,##0.00_);_(* \(#,##0.00\);_(* "-"??_);_(@_)</c:formatCode>
                <c:ptCount val="10"/>
                <c:pt idx="0">
                  <c:v>530047.14380455972</c:v>
                </c:pt>
                <c:pt idx="1">
                  <c:v>813471.50847704231</c:v>
                </c:pt>
                <c:pt idx="2">
                  <c:v>994622.50465907832</c:v>
                </c:pt>
                <c:pt idx="3">
                  <c:v>1120568.3031206471</c:v>
                </c:pt>
                <c:pt idx="4">
                  <c:v>1215747.1636576629</c:v>
                </c:pt>
                <c:pt idx="5">
                  <c:v>1293021.1091090925</c:v>
                </c:pt>
                <c:pt idx="6">
                  <c:v>1359244.0368029026</c:v>
                </c:pt>
                <c:pt idx="7">
                  <c:v>1418123.2932006088</c:v>
                </c:pt>
                <c:pt idx="8">
                  <c:v>1471707.8315681601</c:v>
                </c:pt>
                <c:pt idx="9">
                  <c:v>1521167.5481892107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1-2C42-9E44-63BC99E67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626832"/>
        <c:axId val="1626628544"/>
      </c:lineChart>
      <c:catAx>
        <c:axId val="16266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8544"/>
        <c:crosses val="autoZero"/>
        <c:auto val="1"/>
        <c:lblAlgn val="ctr"/>
        <c:lblOffset val="100"/>
        <c:noMultiLvlLbl val="0"/>
      </c:catAx>
      <c:valAx>
        <c:axId val="16266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115732</xdr:colOff>
      <xdr:row>2</xdr:row>
      <xdr:rowOff>94560</xdr:rowOff>
    </xdr:from>
    <xdr:to>
      <xdr:col>14</xdr:col>
      <xdr:colOff>555192</xdr:colOff>
      <xdr:row>16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27214</xdr:colOff>
      <xdr:row>19</xdr:row>
      <xdr:rowOff>110822</xdr:rowOff>
    </xdr:from>
    <xdr:to>
      <xdr:col>14</xdr:col>
      <xdr:colOff>471713</xdr:colOff>
      <xdr:row>33</xdr:row>
      <xdr:rowOff>8315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1021080</xdr:colOff>
      <xdr:row>14</xdr:row>
      <xdr:rowOff>5080</xdr:rowOff>
    </xdr:from>
    <xdr:to>
      <xdr:col>10</xdr:col>
      <xdr:colOff>919480</xdr:colOff>
      <xdr:row>27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D128A-01B6-038B-5F8B-DC67F644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50"/>
  <sheetViews>
    <sheetView topLeftCell="C33" zoomScale="200" workbookViewId="0">
      <selection activeCell="H52" sqref="H52"/>
    </sheetView>
  </sheetViews>
  <sheetFormatPr baseColWidth="10" defaultRowHeight="16"/>
  <cols>
    <col min="1" max="1" width="11.83203125" style="1" bestFit="1" customWidth="1"/>
    <col min="2" max="2" width="14" style="1" customWidth="1"/>
    <col min="3" max="3" width="12.83203125" style="1" customWidth="1"/>
    <col min="4" max="4" width="11" style="1" bestFit="1" customWidth="1"/>
    <col min="5" max="5" width="13.1640625" style="1" customWidth="1"/>
    <col min="6" max="6" width="12.5" style="1" customWidth="1"/>
    <col min="7" max="7" width="11.5" style="1" bestFit="1" customWidth="1"/>
    <col min="8" max="8" width="17.33203125" style="1" customWidth="1"/>
    <col min="9" max="16384" width="10.83203125" style="1"/>
  </cols>
  <sheetData>
    <row r="3" spans="1:8">
      <c r="A3" s="1" t="s">
        <v>18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H5" s="1" t="s">
        <v>19</v>
      </c>
    </row>
    <row r="6" spans="1:8">
      <c r="A6" s="4">
        <v>2026</v>
      </c>
      <c r="B6" s="1">
        <f>Eor!C3 * 0.5</f>
        <v>69130.689395195892</v>
      </c>
      <c r="C6" s="1">
        <f>Lanyuak!E3 * 0.5</f>
        <v>65907.171375145947</v>
      </c>
      <c r="D6" s="1">
        <f>Mumberes!E3*0.5</f>
        <v>30178.507349978001</v>
      </c>
      <c r="E6" s="1">
        <f>Kabianga!C3*0.5</f>
        <v>220922.51209236</v>
      </c>
      <c r="F6" s="1">
        <f>Kipsigis!B3*0.5</f>
        <v>143908.26359187983</v>
      </c>
      <c r="H6" s="1">
        <f>SUM(B6:F6)</f>
        <v>530047.14380455972</v>
      </c>
    </row>
    <row r="7" spans="1:8">
      <c r="A7" s="4">
        <v>2027</v>
      </c>
      <c r="B7" s="1">
        <f>Eor!C4 * 0.5</f>
        <v>39138.31464429215</v>
      </c>
      <c r="C7" s="1">
        <f>Lanyuak!E4 * 0.5</f>
        <v>37313.493037874185</v>
      </c>
      <c r="D7" s="1">
        <f>Mumberes!E4*0.5</f>
        <v>15842.027898957</v>
      </c>
      <c r="E7" s="1">
        <f>Kabianga!C4*0.5</f>
        <v>115734.92698060122</v>
      </c>
      <c r="F7" s="1">
        <f>Kipsigis!B4*0.5</f>
        <v>75395.605915317778</v>
      </c>
      <c r="H7" s="1">
        <f t="shared" ref="H7:H45" si="0">SUM(B7:F7)</f>
        <v>283424.3684770423</v>
      </c>
    </row>
    <row r="8" spans="1:8">
      <c r="A8" s="4">
        <v>2028</v>
      </c>
      <c r="B8" s="1">
        <f>Eor!C5 * 0.5</f>
        <v>26671.798839738251</v>
      </c>
      <c r="C8" s="1">
        <f>Lanyuak!E5 * 0.5</f>
        <v>25428.49100079012</v>
      </c>
      <c r="D8" s="1">
        <f>Mumberes!E5*0.5</f>
        <v>9922.6519113020004</v>
      </c>
      <c r="E8" s="1">
        <f>Kabianga!C5*0.5</f>
        <v>72129.447754306515</v>
      </c>
      <c r="F8" s="1">
        <f>Kipsigis!B5*0.5</f>
        <v>46998.605152941476</v>
      </c>
      <c r="H8" s="1">
        <f t="shared" si="0"/>
        <v>181150.99465907837</v>
      </c>
    </row>
    <row r="9" spans="1:8">
      <c r="A9" s="4">
        <v>2029</v>
      </c>
      <c r="B9" s="1">
        <f>Eor!C6 * 0.5</f>
        <v>19902.155268089839</v>
      </c>
      <c r="C9" s="1">
        <f>Lanyuak!E6 * 0.5</f>
        <v>18974.726420700204</v>
      </c>
      <c r="D9" s="1">
        <f>Mumberes!E6*0.5</f>
        <v>6748.8770022829995</v>
      </c>
      <c r="E9" s="1">
        <f>Kabianga!C6*0.5</f>
        <v>48624.917259883296</v>
      </c>
      <c r="F9" s="1">
        <f>Kipsigis!B6*0.5</f>
        <v>31695.127169690928</v>
      </c>
      <c r="H9" s="1">
        <f t="shared" si="0"/>
        <v>125945.80312064727</v>
      </c>
    </row>
    <row r="10" spans="1:8">
      <c r="A10" s="4">
        <v>2030</v>
      </c>
      <c r="B10" s="1">
        <f>Eor!C7 * 0.5</f>
        <v>16090.07288799687</v>
      </c>
      <c r="C10" s="1">
        <f>Lanyuak!E7 * 0.5</f>
        <v>15340.604476309392</v>
      </c>
      <c r="D10" s="1">
        <f>Mumberes!E7*0.5</f>
        <v>4998.0177740284998</v>
      </c>
      <c r="E10" s="1">
        <f>Kabianga!C7*0.5</f>
        <v>35559.392377719458</v>
      </c>
      <c r="F10" s="1">
        <f>Kipsigis!B7*0.5</f>
        <v>23190.77614160888</v>
      </c>
      <c r="H10" s="1">
        <f t="shared" si="0"/>
        <v>95178.863657663096</v>
      </c>
    </row>
    <row r="11" spans="1:8">
      <c r="A11" s="4">
        <v>2031</v>
      </c>
      <c r="B11" s="1">
        <f>Eor!C8 * 0.5</f>
        <v>13833.705361061368</v>
      </c>
      <c r="C11" s="1">
        <f>Lanyuak!E8 * 0.5</f>
        <v>13189.639720471892</v>
      </c>
      <c r="D11" s="1">
        <f>Mumberes!E8*0.5</f>
        <v>3993.9623541518999</v>
      </c>
      <c r="E11" s="1">
        <f>Kabianga!C8*0.5</f>
        <v>27990.640845560574</v>
      </c>
      <c r="F11" s="1">
        <f>Kipsigis!B8*0.5</f>
        <v>18266.000827846779</v>
      </c>
      <c r="H11" s="1">
        <f t="shared" si="0"/>
        <v>77273.949109092515</v>
      </c>
    </row>
    <row r="12" spans="1:8">
      <c r="A12" s="4">
        <v>2032</v>
      </c>
      <c r="B12" s="1">
        <f>Eor!C9 * 0.5</f>
        <v>12405.245890305207</v>
      </c>
      <c r="C12" s="1">
        <f>Lanyuak!E9 * 0.5</f>
        <v>11827.960881081501</v>
      </c>
      <c r="D12" s="1">
        <f>Mumberes!E9*0.5</f>
        <v>3386.2099275134001</v>
      </c>
      <c r="E12" s="1">
        <f>Kabianga!C9*0.5</f>
        <v>23353.587008119888</v>
      </c>
      <c r="F12" s="1">
        <f>Kipsigis!B9*0.5</f>
        <v>15249.923095882592</v>
      </c>
      <c r="H12" s="1">
        <f t="shared" si="0"/>
        <v>66222.926802902584</v>
      </c>
    </row>
    <row r="13" spans="1:8">
      <c r="A13" s="4">
        <v>2033</v>
      </c>
      <c r="B13" s="1">
        <f>Eor!C10 * 0.5</f>
        <v>11423.537777729693</v>
      </c>
      <c r="C13" s="1">
        <f>Lanyuak!E10 * 0.5</f>
        <v>10892.184667759273</v>
      </c>
      <c r="D13" s="1">
        <f>Mumberes!E10*0.5</f>
        <v>2991.4736503197</v>
      </c>
      <c r="E13" s="1">
        <f>Kabianga!C10*0.5</f>
        <v>20304.641555281007</v>
      </c>
      <c r="F13" s="1">
        <f>Kipsigis!B10*0.5</f>
        <v>13267.415549519284</v>
      </c>
      <c r="H13" s="1">
        <f t="shared" si="0"/>
        <v>58879.253200608953</v>
      </c>
    </row>
    <row r="14" spans="1:8">
      <c r="A14" s="4">
        <v>2034</v>
      </c>
      <c r="B14" s="1">
        <f>Eor!C11 * 0.5</f>
        <v>10687.827059350577</v>
      </c>
      <c r="C14" s="1">
        <f>Lanyuak!E11 * 0.5</f>
        <v>10190.919154044586</v>
      </c>
      <c r="D14" s="1">
        <f>Mumberes!E11*0.5</f>
        <v>2713.3420477982004</v>
      </c>
      <c r="E14" s="1">
        <f>Kabianga!C11*0.5</f>
        <v>18135.353092251749</v>
      </c>
      <c r="F14" s="1">
        <f>Kipsigis!B11*0.5</f>
        <v>11857.100214715001</v>
      </c>
      <c r="H14" s="1">
        <f t="shared" si="0"/>
        <v>53584.541568160115</v>
      </c>
    </row>
    <row r="15" spans="1:8">
      <c r="A15" s="4">
        <v>2035</v>
      </c>
      <c r="B15" s="1">
        <f>Eor!C12 * 0.5</f>
        <v>10091.886980842808</v>
      </c>
      <c r="C15" s="1">
        <f>Lanyuak!E12 * 0.5</f>
        <v>9622.89204263188</v>
      </c>
      <c r="D15" s="1">
        <f>Mumberes!E12*0.5</f>
        <v>2500.8472547863998</v>
      </c>
      <c r="E15" s="1">
        <f>Kabianga!C12*0.5</f>
        <v>16469.851068282274</v>
      </c>
      <c r="F15" s="1">
        <f>Kipsigis!B12*0.5</f>
        <v>10774.240842667316</v>
      </c>
      <c r="H15" s="1">
        <f t="shared" si="0"/>
        <v>49459.718189210675</v>
      </c>
    </row>
    <row r="16" spans="1:8">
      <c r="A16" s="4">
        <v>2036</v>
      </c>
      <c r="B16" s="1">
        <f>Eor!C13 * 0.5</f>
        <v>9579.218915733265</v>
      </c>
      <c r="C16" s="1">
        <f>Lanyuak!E13 * 0.5</f>
        <v>9134.2403385179859</v>
      </c>
      <c r="D16" s="1">
        <f>Mumberes!E13*0.5</f>
        <v>2326.8909877927999</v>
      </c>
      <c r="E16" s="1">
        <f>Kabianga!C13*0.5</f>
        <v>15107.181796076697</v>
      </c>
      <c r="F16" s="1">
        <f>Kipsigis!B13*0.5</f>
        <v>9888.0329355419435</v>
      </c>
      <c r="H16" s="1">
        <f t="shared" si="0"/>
        <v>46035.564973662687</v>
      </c>
    </row>
    <row r="17" spans="1:8">
      <c r="A17" s="4">
        <v>2037</v>
      </c>
      <c r="B17" s="1">
        <f>Eor!C14 * 0.5</f>
        <v>9119.5506618533327</v>
      </c>
      <c r="C17" s="1">
        <f>Lanyuak!E14 * 0.5</f>
        <v>8696.1044573617419</v>
      </c>
      <c r="D17" s="1">
        <f>Mumberes!E14*0.5</f>
        <v>2176.9460212734002</v>
      </c>
      <c r="E17" s="1">
        <f>Kabianga!C14*0.5</f>
        <v>13938.68055984531</v>
      </c>
      <c r="F17" s="1">
        <f>Kipsigis!B14*0.5</f>
        <v>9127.7782215874759</v>
      </c>
      <c r="H17" s="1">
        <f t="shared" si="0"/>
        <v>43059.05992192126</v>
      </c>
    </row>
    <row r="18" spans="1:8">
      <c r="A18" s="4">
        <v>2038</v>
      </c>
      <c r="B18" s="1">
        <f>Eor!C15 * 0.5</f>
        <v>8696.4682574837207</v>
      </c>
      <c r="C18" s="1">
        <f>Lanyuak!E15 * 0.5</f>
        <v>8292.8367573642845</v>
      </c>
      <c r="D18" s="1">
        <f>Mumberes!E15*0.5</f>
        <v>2043.1227216556001</v>
      </c>
      <c r="E18" s="1">
        <f>Kabianga!C15*0.5</f>
        <v>12904.523176089628</v>
      </c>
      <c r="F18" s="1">
        <f>Kipsigis!B15*0.5</f>
        <v>8454.5828156345506</v>
      </c>
      <c r="H18" s="1">
        <f t="shared" si="0"/>
        <v>40391.533728227783</v>
      </c>
    </row>
    <row r="19" spans="1:8">
      <c r="A19" s="4">
        <v>2039</v>
      </c>
      <c r="B19" s="1">
        <f>Eor!C16 * 0.5</f>
        <v>8300.8950618883318</v>
      </c>
      <c r="C19" s="1">
        <f>Lanyuak!E16 * 0.5</f>
        <v>7915.7846974964577</v>
      </c>
      <c r="D19" s="1">
        <f>Mumberes!E16*0.5</f>
        <v>1921.0451409122998</v>
      </c>
      <c r="E19" s="1">
        <f>Kabianga!C16*0.5</f>
        <v>11970.831069951097</v>
      </c>
      <c r="F19" s="1">
        <f>Kipsigis!B16*0.5</f>
        <v>7846.4445757410786</v>
      </c>
      <c r="H19" s="1">
        <f t="shared" si="0"/>
        <v>37955.000545989264</v>
      </c>
    </row>
    <row r="20" spans="1:8">
      <c r="A20" s="4">
        <v>2040</v>
      </c>
      <c r="B20" s="1">
        <f>Eor!C17 * 0.5</f>
        <v>7927.6497912172263</v>
      </c>
      <c r="C20" s="1">
        <f>Lanyuak!E17 * 0.5</f>
        <v>7560.0093836727738</v>
      </c>
      <c r="D20" s="1">
        <f>Mumberes!E17*0.5</f>
        <v>1808.2036271936001</v>
      </c>
      <c r="E20" s="1">
        <f>Kabianga!C17*0.5</f>
        <v>11117.587937503586</v>
      </c>
      <c r="F20" s="1">
        <f>Kipsigis!B17*0.5</f>
        <v>7290.3831798686106</v>
      </c>
      <c r="H20" s="1">
        <f t="shared" si="0"/>
        <v>35703.833919455792</v>
      </c>
    </row>
    <row r="21" spans="1:8">
      <c r="A21" s="4">
        <v>2041</v>
      </c>
      <c r="B21" s="1">
        <f>Eor!C18 * 0.5</f>
        <v>7573.6282080551191</v>
      </c>
      <c r="C21" s="1">
        <f>Lanyuak!E18 * 0.5</f>
        <v>7222.5520565778424</v>
      </c>
      <c r="D21" s="1">
        <f>Mumberes!E18*0.5</f>
        <v>1703.0870330058001</v>
      </c>
      <c r="E21" s="1">
        <f>Kabianga!C18*0.5</f>
        <v>10332.252722388883</v>
      </c>
      <c r="F21" s="1">
        <f>Kipsigis!B18*0.5</f>
        <v>6778.2806528736855</v>
      </c>
      <c r="H21" s="1">
        <f t="shared" si="0"/>
        <v>33609.800672901329</v>
      </c>
    </row>
    <row r="22" spans="1:8">
      <c r="A22" s="4">
        <v>2042</v>
      </c>
      <c r="B22" s="1">
        <f>Eor!C19 * 0.5</f>
        <v>7236.8417605999366</v>
      </c>
      <c r="C22" s="1">
        <f>Lanyuak!E19 * 0.5</f>
        <v>6901.5175673190051</v>
      </c>
      <c r="D22" s="1">
        <f>Mumberes!E19*0.5</f>
        <v>1604.7228104414</v>
      </c>
      <c r="E22" s="1">
        <f>Kabianga!C19*0.5</f>
        <v>9606.3769717712803</v>
      </c>
      <c r="F22" s="1">
        <f>Kipsigis!B19*0.5</f>
        <v>6304.6787872379546</v>
      </c>
      <c r="H22" s="1">
        <f t="shared" si="0"/>
        <v>31654.137897369576</v>
      </c>
    </row>
    <row r="23" spans="1:8">
      <c r="A23" s="4">
        <v>2043</v>
      </c>
      <c r="B23" s="1">
        <f>Eor!C20 * 0.5</f>
        <v>6915.9087544700787</v>
      </c>
      <c r="C23" s="1">
        <f>Lanyuak!E20 * 0.5</f>
        <v>6595.5892820207609</v>
      </c>
      <c r="D23" s="1">
        <f>Mumberes!E20*0.5</f>
        <v>1512.4343884832001</v>
      </c>
      <c r="E23" s="1">
        <f>Kabianga!C20*0.5</f>
        <v>8933.8080693794327</v>
      </c>
      <c r="F23" s="1">
        <f>Kipsigis!B20*0.5</f>
        <v>5865.6094636200705</v>
      </c>
      <c r="H23" s="1">
        <f t="shared" si="0"/>
        <v>29823.349957973543</v>
      </c>
    </row>
    <row r="24" spans="1:8">
      <c r="A24" s="4">
        <v>2044</v>
      </c>
      <c r="B24" s="1">
        <f>Eor!C21 * 0.5</f>
        <v>6609.7845891436154</v>
      </c>
      <c r="C24" s="1">
        <f>Lanyuak!E21 * 0.5</f>
        <v>6303.771901892429</v>
      </c>
      <c r="D24" s="1">
        <f>Mumberes!E21*0.5</f>
        <v>1425.7112073230001</v>
      </c>
      <c r="E24" s="1">
        <f>Kabianga!C21*0.5</f>
        <v>8309.7302674482053</v>
      </c>
      <c r="F24" s="1">
        <f>Kipsigis!B21*0.5</f>
        <v>5457.9706010689051</v>
      </c>
      <c r="H24" s="1">
        <f t="shared" si="0"/>
        <v>28106.968566876152</v>
      </c>
    </row>
    <row r="25" spans="1:8">
      <c r="A25" s="4">
        <v>2045</v>
      </c>
      <c r="B25" s="1">
        <f>Eor!C22 * 0.5</f>
        <v>6317.618335216921</v>
      </c>
      <c r="C25" s="1">
        <f>Lanyuak!E22 * 0.5</f>
        <v>6025.254731741793</v>
      </c>
      <c r="D25" s="1">
        <f>Mumberes!E22*0.5</f>
        <v>1344.141396689</v>
      </c>
      <c r="E25" s="1">
        <f>Kabianga!C22*0.5</f>
        <v>7730.148783291952</v>
      </c>
      <c r="F25" s="1">
        <f>Kipsigis!B22*0.5</f>
        <v>5079.190631742089</v>
      </c>
      <c r="H25" s="1">
        <f t="shared" si="0"/>
        <v>26496.353878681752</v>
      </c>
    </row>
    <row r="26" spans="1:8">
      <c r="A26" s="4">
        <v>2046</v>
      </c>
      <c r="B26" s="1">
        <f>Eor!C23 * 0.5</f>
        <v>6038.676111660634</v>
      </c>
      <c r="C26" s="1">
        <f>Lanyuak!E23 * 0.5</f>
        <v>5759.3386328798761</v>
      </c>
      <c r="D26" s="1">
        <f>Mumberes!E23*0.5</f>
        <v>1267.3742104048999</v>
      </c>
      <c r="E26" s="1">
        <f>Kabianga!C23*0.5</f>
        <v>7191.6085783035651</v>
      </c>
      <c r="F26" s="1">
        <f>Kipsigis!B23*0.5</f>
        <v>4727.0457788200911</v>
      </c>
      <c r="H26" s="1">
        <f t="shared" si="0"/>
        <v>24984.043312069065</v>
      </c>
    </row>
    <row r="27" spans="1:8">
      <c r="A27" s="4">
        <v>2047</v>
      </c>
      <c r="B27" s="1">
        <f>Eor!C24 * 0.5</f>
        <v>5772.2998072671035</v>
      </c>
      <c r="C27" s="1">
        <f>Lanyuak!E24 * 0.5</f>
        <v>5505.396671631257</v>
      </c>
      <c r="D27" s="1">
        <f>Mumberes!E24*0.5</f>
        <v>1195.0987607078</v>
      </c>
      <c r="E27" s="1">
        <f>Kabianga!C24*0.5</f>
        <v>6691.0377610538817</v>
      </c>
      <c r="F27" s="1">
        <f>Kipsigis!B24*0.5</f>
        <v>4399.558459224364</v>
      </c>
      <c r="H27" s="1">
        <f t="shared" si="0"/>
        <v>23563.391459884409</v>
      </c>
    </row>
    <row r="28" spans="1:8">
      <c r="A28" s="4">
        <v>2048</v>
      </c>
      <c r="B28" s="1">
        <f>Eor!C25 * 0.5</f>
        <v>5517.8845247170211</v>
      </c>
      <c r="C28" s="1">
        <f>Lanyuak!E25 * 0.5</f>
        <v>5262.8526171154663</v>
      </c>
      <c r="D28" s="1">
        <f>Mumberes!E25*0.5</f>
        <v>1127.0335491909</v>
      </c>
      <c r="E28" s="1">
        <f>Kabianga!C25*0.5</f>
        <v>6225.6574509854827</v>
      </c>
      <c r="F28" s="1">
        <f>Kipsigis!B25*0.5</f>
        <v>4094.9389331103175</v>
      </c>
      <c r="H28" s="1">
        <f t="shared" si="0"/>
        <v>22228.367075119189</v>
      </c>
    </row>
    <row r="29" spans="1:8">
      <c r="A29" s="4">
        <v>2049</v>
      </c>
      <c r="B29" s="1">
        <f>Eor!C26 * 0.5</f>
        <v>5274.8659622594105</v>
      </c>
      <c r="C29" s="1">
        <f>Lanyuak!E26 * 0.5</f>
        <v>5031.1689130339437</v>
      </c>
      <c r="D29" s="1">
        <f>Mumberes!E26*0.5</f>
        <v>1062.9205967939001</v>
      </c>
      <c r="E29" s="1">
        <f>Kabianga!C26*0.5</f>
        <v>5792.9273366916123</v>
      </c>
      <c r="F29" s="1">
        <f>Kipsigis!B26*0.5</f>
        <v>3811.5501661462727</v>
      </c>
      <c r="H29" s="1">
        <f t="shared" si="0"/>
        <v>20973.432974925137</v>
      </c>
    </row>
    <row r="30" spans="1:8">
      <c r="A30" s="4">
        <v>2050</v>
      </c>
      <c r="B30" s="1">
        <f>Eor!C27 * 0.5</f>
        <v>5042.7130882326273</v>
      </c>
      <c r="C30" s="1">
        <f>Lanyuak!E27 * 0.5</f>
        <v>4809.839695341585</v>
      </c>
      <c r="D30" s="1">
        <f>Mumberes!E27*0.5</f>
        <v>1002.5214605822</v>
      </c>
      <c r="E30" s="1">
        <f>Kabianga!C27*0.5</f>
        <v>5390.5106313718989</v>
      </c>
      <c r="F30" s="1">
        <f>Kipsigis!B27*0.5</f>
        <v>3547.8852936339613</v>
      </c>
      <c r="H30" s="1">
        <f t="shared" si="0"/>
        <v>19793.470169162272</v>
      </c>
    </row>
    <row r="31" spans="1:8">
      <c r="A31" s="4">
        <v>2051</v>
      </c>
      <c r="B31" s="1">
        <f>Eor!C28 * 0.5</f>
        <v>4820.9236513839096</v>
      </c>
      <c r="C31" s="1">
        <f>Lanyuak!E28 * 0.5</f>
        <v>4598.3865133660747</v>
      </c>
      <c r="D31" s="1">
        <f>Mumberes!E28*0.5</f>
        <v>945.61203197500004</v>
      </c>
      <c r="E31" s="1">
        <f>Kabianga!C28*0.5</f>
        <v>5016.2497720125593</v>
      </c>
      <c r="F31" s="1">
        <f>Kipsigis!B28*0.5</f>
        <v>3302.552053631689</v>
      </c>
      <c r="H31" s="1">
        <f t="shared" si="0"/>
        <v>18683.724022369235</v>
      </c>
    </row>
    <row r="32" spans="1:8">
      <c r="A32" s="4">
        <v>2052</v>
      </c>
      <c r="B32" s="1">
        <f>Eor!C29 * 0.5</f>
        <v>4609.0212259922528</v>
      </c>
      <c r="C32" s="1">
        <f>Lanyuak!E29 * 0.5</f>
        <v>4396.3555140729859</v>
      </c>
      <c r="D32" s="1">
        <f>Mumberes!E29*0.5</f>
        <v>891.98482971780004</v>
      </c>
      <c r="E32" s="1">
        <f>Kabianga!C29*0.5</f>
        <v>4668.1482494401416</v>
      </c>
      <c r="F32" s="1">
        <f>Kipsigis!B29*0.5</f>
        <v>3074.261187522894</v>
      </c>
      <c r="H32" s="1">
        <f t="shared" si="0"/>
        <v>17639.771006746076</v>
      </c>
    </row>
    <row r="33" spans="1:8">
      <c r="A33" s="4">
        <v>2053</v>
      </c>
      <c r="B33" s="1">
        <f>Eor!C30 * 0.5</f>
        <v>4406.5531019354157</v>
      </c>
      <c r="C33" s="1">
        <f>Lanyuak!E30 * 0.5</f>
        <v>4203.3154317977105</v>
      </c>
      <c r="D33" s="1">
        <f>Mumberes!E30*0.5</f>
        <v>841.44542284530007</v>
      </c>
      <c r="E33" s="1">
        <f>Kabianga!C30*0.5</f>
        <v>4344.3560940986463</v>
      </c>
      <c r="F33" s="1">
        <f>Kipsigis!B30*0.5</f>
        <v>2861.8171984034093</v>
      </c>
      <c r="H33" s="1">
        <f t="shared" si="0"/>
        <v>16657.487249080481</v>
      </c>
    </row>
    <row r="34" spans="1:8">
      <c r="A34" s="4">
        <v>2054</v>
      </c>
      <c r="B34" s="1">
        <f>Eor!C31 * 0.5</f>
        <v>4213.0886528585015</v>
      </c>
      <c r="C34" s="1">
        <f>Lanyuak!E31 * 0.5</f>
        <v>4018.8560337167028</v>
      </c>
      <c r="D34" s="1">
        <f>Mumberes!E31*0.5</f>
        <v>793.81113351409999</v>
      </c>
      <c r="E34" s="1">
        <f>Kabianga!C31*0.5</f>
        <v>4043.1576750325357</v>
      </c>
      <c r="F34" s="1">
        <f>Kipsigis!B31*0.5</f>
        <v>2664.1105951015938</v>
      </c>
      <c r="H34" s="1">
        <f t="shared" si="0"/>
        <v>15733.024090223435</v>
      </c>
    </row>
    <row r="35" spans="1:8">
      <c r="A35" s="4">
        <v>2055</v>
      </c>
      <c r="B35" s="1">
        <f>Eor!C32 * 0.5</f>
        <v>4028.2179865461039</v>
      </c>
      <c r="C35" s="1">
        <f>Lanyuak!E32 * 0.5</f>
        <v>3842.5868342997146</v>
      </c>
      <c r="D35" s="1">
        <f>Mumberes!E32*0.5</f>
        <v>748.91048668929989</v>
      </c>
      <c r="E35" s="1">
        <f>Kabianga!C32*0.5</f>
        <v>3762.961070954043</v>
      </c>
      <c r="F35" s="1">
        <f>Kipsigis!B32*0.5</f>
        <v>2480.1111411124903</v>
      </c>
      <c r="H35" s="1">
        <f t="shared" si="0"/>
        <v>14862.78751960165</v>
      </c>
    </row>
    <row r="36" spans="1:8">
      <c r="A36" s="4">
        <v>2056</v>
      </c>
      <c r="B36" s="1">
        <f>Eor!C33 * 0.5</f>
        <v>3851.5507720136238</v>
      </c>
      <c r="C36" s="1">
        <f>Lanyuak!E33 * 0.5</f>
        <v>3674.135978187368</v>
      </c>
      <c r="D36" s="1">
        <f>Mumberes!E33*0.5</f>
        <v>706.58314463099987</v>
      </c>
      <c r="E36" s="1">
        <f>Kabianga!C33*0.5</f>
        <v>3502.288592933146</v>
      </c>
      <c r="F36" s="1">
        <f>Kipsigis!B33*0.5</f>
        <v>2308.8618363534824</v>
      </c>
      <c r="H36" s="1">
        <f t="shared" si="0"/>
        <v>14043.420324118621</v>
      </c>
    </row>
    <row r="37" spans="1:8">
      <c r="A37" s="4">
        <v>2057</v>
      </c>
      <c r="B37" s="1">
        <f>Eor!C34 * 0.5</f>
        <v>3682.7151858185371</v>
      </c>
      <c r="C37" s="1">
        <f>Lanyuak!E34 * 0.5</f>
        <v>3513.149236670446</v>
      </c>
      <c r="D37" s="1">
        <f>Mumberes!E34*0.5</f>
        <v>666.67834767299996</v>
      </c>
      <c r="E37" s="1">
        <f>Kabianga!C34*0.5</f>
        <v>3259.7682101961409</v>
      </c>
      <c r="F37" s="1">
        <f>Kipsigis!B34*0.5</f>
        <v>2149.4734715040236</v>
      </c>
      <c r="H37" s="1">
        <f t="shared" si="0"/>
        <v>13271.784451862148</v>
      </c>
    </row>
    <row r="38" spans="1:8">
      <c r="A38" s="4">
        <v>2058</v>
      </c>
      <c r="B38" s="1">
        <f>Eor!C35 * 0.5</f>
        <v>3521.3569455441375</v>
      </c>
      <c r="C38" s="1">
        <f>Lanyuak!E35 * 0.5</f>
        <v>3359.2890872293419</v>
      </c>
      <c r="D38" s="1">
        <f>Mumberes!E35*0.5</f>
        <v>629.0545735526</v>
      </c>
      <c r="E38" s="1">
        <f>Kabianga!C35*0.5</f>
        <v>3034.1257237598165</v>
      </c>
      <c r="F38" s="1">
        <f>Kipsigis!B35*0.5</f>
        <v>2001.1196552481763</v>
      </c>
      <c r="H38" s="1">
        <f t="shared" si="0"/>
        <v>12544.945985334072</v>
      </c>
    </row>
    <row r="39" spans="1:8">
      <c r="A39" s="4">
        <v>2059</v>
      </c>
      <c r="B39" s="1">
        <f>Eor!C36 * 0.5</f>
        <v>3367.1384119871791</v>
      </c>
      <c r="C39" s="1">
        <f>Lanyuak!E36 * 0.5</f>
        <v>3212.2338585267253</v>
      </c>
      <c r="D39" s="1">
        <f>Mumberes!E36*0.5</f>
        <v>593.57875124859993</v>
      </c>
      <c r="E39" s="1">
        <f>Kabianga!C36*0.5</f>
        <v>2824.1775840482123</v>
      </c>
      <c r="F39" s="1">
        <f>Kipsigis!B36*0.5</f>
        <v>1863.0322481115707</v>
      </c>
      <c r="H39" s="1">
        <f t="shared" si="0"/>
        <v>11860.160853922289</v>
      </c>
    </row>
    <row r="40" spans="1:8">
      <c r="A40" s="4">
        <v>2060</v>
      </c>
      <c r="B40" s="1">
        <f>Eor!C37 * 0.5</f>
        <v>3219.7377488822258</v>
      </c>
      <c r="C40" s="1">
        <f>Lanyuak!E37 * 0.5</f>
        <v>3071.6769302007042</v>
      </c>
      <c r="D40" s="1">
        <f>Mumberes!E37*0.5</f>
        <v>560.1259334138</v>
      </c>
      <c r="E40" s="1">
        <f>Kabianga!C37*0.5</f>
        <v>2628.8242776496541</v>
      </c>
      <c r="F40" s="1">
        <f>Kipsigis!B37*0.5</f>
        <v>1734.4971553359032</v>
      </c>
      <c r="H40" s="1">
        <f t="shared" si="0"/>
        <v>11214.862045482287</v>
      </c>
    </row>
    <row r="41" spans="1:8">
      <c r="A41" s="4">
        <v>2061</v>
      </c>
      <c r="B41" s="1">
        <f>Eor!C38 * 0.5</f>
        <v>3078.8481329323613</v>
      </c>
      <c r="C41" s="1">
        <f>Lanyuak!E38 * 0.5</f>
        <v>2937.3259805822727</v>
      </c>
      <c r="D41" s="1">
        <f>Mumberes!E38*0.5</f>
        <v>528.5783922887</v>
      </c>
      <c r="E41" s="1">
        <f>Kabianga!C38*0.5</f>
        <v>2447.0442255119624</v>
      </c>
      <c r="F41" s="1">
        <f>Kipsigis!B38*0.5</f>
        <v>1614.8504423511949</v>
      </c>
      <c r="H41" s="1">
        <f t="shared" si="0"/>
        <v>10606.647173666492</v>
      </c>
    </row>
    <row r="42" spans="1:8">
      <c r="A42" s="4">
        <v>2062</v>
      </c>
      <c r="B42" s="1">
        <f>Eor!C39 * 0.5</f>
        <v>2944.17700910651</v>
      </c>
      <c r="C42" s="1">
        <f>Lanyuak!E39 * 0.5</f>
        <v>2808.90227752176</v>
      </c>
      <c r="D42" s="1">
        <f>Mumberes!E39*0.5</f>
        <v>498.82596037169998</v>
      </c>
      <c r="E42" s="1">
        <f>Kabianga!C39*0.5</f>
        <v>2277.8881454892271</v>
      </c>
      <c r="F42" s="1">
        <f>Kipsigis!B39*0.5</f>
        <v>1503.4747431162552</v>
      </c>
      <c r="H42" s="1">
        <f t="shared" si="0"/>
        <v>10033.268135605453</v>
      </c>
    </row>
    <row r="43" spans="1:8">
      <c r="A43" s="4">
        <v>2063</v>
      </c>
      <c r="B43" s="1">
        <f>Eor!C40 * 0.5</f>
        <v>2815.44538740798</v>
      </c>
      <c r="C43" s="1">
        <f>Lanyuak!E40 * 0.5</f>
        <v>2686.1400087148313</v>
      </c>
      <c r="D43" s="1">
        <f>Mumberes!E40*0.5</f>
        <v>470.7649035869</v>
      </c>
      <c r="E43" s="1">
        <f>Kabianga!C40*0.5</f>
        <v>2120.4738391053802</v>
      </c>
      <c r="F43" s="1">
        <f>Kipsigis!B40*0.5</f>
        <v>1399.7959361570147</v>
      </c>
      <c r="H43" s="1">
        <f t="shared" si="0"/>
        <v>9492.6200749721065</v>
      </c>
    </row>
    <row r="44" spans="1:8">
      <c r="A44" s="4">
        <v>2064</v>
      </c>
      <c r="B44" s="1">
        <f>Eor!C41 * 0.5</f>
        <v>2692.3871780411309</v>
      </c>
      <c r="C44" s="1">
        <f>Lanyuak!E41 * 0.5</f>
        <v>2568.7856485947782</v>
      </c>
      <c r="D44" s="1">
        <f>Mumberes!E41*0.5</f>
        <v>444.29731855990002</v>
      </c>
      <c r="E44" s="1">
        <f>Kabianga!C41*0.5</f>
        <v>1973.981367497471</v>
      </c>
      <c r="F44" s="1">
        <f>Kipsigis!B41*0.5</f>
        <v>1303.2800662797888</v>
      </c>
      <c r="H44" s="1">
        <f t="shared" si="0"/>
        <v>8982.7315789730692</v>
      </c>
    </row>
    <row r="45" spans="1:8">
      <c r="A45" s="4">
        <v>2065</v>
      </c>
      <c r="B45" s="1">
        <f>Eor!C42 * 0.5</f>
        <v>2574.7485623724842</v>
      </c>
      <c r="C45" s="1">
        <f>Lanyuak!E42 * 0.5</f>
        <v>2456.5973593167637</v>
      </c>
      <c r="D45" s="1">
        <f>Mumberes!E42*0.5</f>
        <v>419.3311195151</v>
      </c>
      <c r="E45" s="1">
        <f>Kabianga!C42*0.5</f>
        <v>1837.6485851623183</v>
      </c>
      <c r="F45" s="1">
        <f>Kipsigis!B42*0.5</f>
        <v>1213.4304922867395</v>
      </c>
      <c r="H45" s="1">
        <f t="shared" si="0"/>
        <v>8501.7561186534058</v>
      </c>
    </row>
    <row r="47" spans="1:8">
      <c r="G47" s="1" t="s">
        <v>21</v>
      </c>
      <c r="H47" s="1">
        <f>SUM(H6:H45)</f>
        <v>2179674.8622737951</v>
      </c>
    </row>
    <row r="48" spans="1:8">
      <c r="G48" s="1" t="s">
        <v>20</v>
      </c>
      <c r="H48" s="1">
        <f>H47/40</f>
        <v>54491.871556844875</v>
      </c>
    </row>
    <row r="50" spans="8:8">
      <c r="H50" s="1">
        <f>AVERAGE(H6:H15)</f>
        <v>152116.75625889655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2BFC-0ECB-3141-9EA5-B06B472A45A9}">
  <dimension ref="A1:L51"/>
  <sheetViews>
    <sheetView tabSelected="1" zoomScale="165" workbookViewId="0">
      <selection activeCell="L16" sqref="L16"/>
    </sheetView>
  </sheetViews>
  <sheetFormatPr baseColWidth="10" defaultColWidth="15.33203125" defaultRowHeight="16"/>
  <sheetData>
    <row r="1" spans="1:12">
      <c r="A1" s="11" t="s">
        <v>12</v>
      </c>
      <c r="B1" s="11" t="s">
        <v>19</v>
      </c>
      <c r="L1" t="s">
        <v>23</v>
      </c>
    </row>
    <row r="2" spans="1:12">
      <c r="A2" s="10" t="s">
        <v>22</v>
      </c>
      <c r="B2" s="10">
        <v>5</v>
      </c>
      <c r="C2" s="10">
        <v>10</v>
      </c>
      <c r="D2" s="10">
        <v>15</v>
      </c>
      <c r="E2" s="10">
        <v>20</v>
      </c>
      <c r="F2" s="10">
        <v>25</v>
      </c>
      <c r="G2" s="10">
        <v>30</v>
      </c>
      <c r="H2" s="10">
        <v>35</v>
      </c>
      <c r="I2" s="10">
        <v>40</v>
      </c>
      <c r="J2" s="10">
        <v>45</v>
      </c>
      <c r="K2" s="10">
        <v>50</v>
      </c>
    </row>
    <row r="3" spans="1:12">
      <c r="A3">
        <v>2026</v>
      </c>
      <c r="B3" s="1">
        <v>530047.14380455972</v>
      </c>
      <c r="L3" s="8">
        <f>SUM(B3:K3)</f>
        <v>530047.14380455972</v>
      </c>
    </row>
    <row r="4" spans="1:12">
      <c r="A4">
        <v>2027</v>
      </c>
      <c r="B4" s="1">
        <v>283424.3684770423</v>
      </c>
      <c r="C4" s="9">
        <v>530047.14</v>
      </c>
      <c r="L4" s="8">
        <f t="shared" ref="L4:L12" si="0">SUM(B4:K4)</f>
        <v>813471.50847704231</v>
      </c>
    </row>
    <row r="5" spans="1:12">
      <c r="A5">
        <v>2028</v>
      </c>
      <c r="B5" s="1">
        <v>181150.99465907837</v>
      </c>
      <c r="C5" s="9">
        <v>283424.37</v>
      </c>
      <c r="D5" s="9">
        <v>530047.14</v>
      </c>
      <c r="L5" s="8">
        <f t="shared" si="0"/>
        <v>994622.50465907832</v>
      </c>
    </row>
    <row r="6" spans="1:12">
      <c r="A6">
        <v>2029</v>
      </c>
      <c r="B6" s="1">
        <v>125945.80312064727</v>
      </c>
      <c r="C6" s="9">
        <v>181150.99</v>
      </c>
      <c r="D6" s="9">
        <v>283424.37</v>
      </c>
      <c r="E6" s="9">
        <v>530047.14</v>
      </c>
      <c r="L6" s="8">
        <f t="shared" si="0"/>
        <v>1120568.3031206471</v>
      </c>
    </row>
    <row r="7" spans="1:12">
      <c r="A7">
        <v>2030</v>
      </c>
      <c r="B7" s="1">
        <v>95178.863657663096</v>
      </c>
      <c r="C7" s="9">
        <v>125945.8</v>
      </c>
      <c r="D7" s="9">
        <v>181150.99</v>
      </c>
      <c r="E7" s="9">
        <v>283424.37</v>
      </c>
      <c r="F7" s="9">
        <v>530047.14</v>
      </c>
      <c r="L7" s="8">
        <f t="shared" si="0"/>
        <v>1215747.1636576629</v>
      </c>
    </row>
    <row r="8" spans="1:12">
      <c r="A8">
        <v>2031</v>
      </c>
      <c r="B8" s="1">
        <v>77273.949109092515</v>
      </c>
      <c r="C8" s="9">
        <v>95178.86</v>
      </c>
      <c r="D8" s="9">
        <v>125945.8</v>
      </c>
      <c r="E8" s="9">
        <v>181150.99</v>
      </c>
      <c r="F8" s="9">
        <v>283424.37</v>
      </c>
      <c r="G8" s="9">
        <v>530047.14</v>
      </c>
      <c r="L8" s="8">
        <f t="shared" si="0"/>
        <v>1293021.1091090925</v>
      </c>
    </row>
    <row r="9" spans="1:12">
      <c r="A9">
        <v>2032</v>
      </c>
      <c r="B9" s="1">
        <v>66222.926802902584</v>
      </c>
      <c r="C9" s="9">
        <v>77273.95</v>
      </c>
      <c r="D9" s="9">
        <v>95178.86</v>
      </c>
      <c r="E9" s="9">
        <v>125945.8</v>
      </c>
      <c r="F9" s="9">
        <v>181150.99</v>
      </c>
      <c r="G9" s="9">
        <v>283424.37</v>
      </c>
      <c r="H9" s="9">
        <v>530047.14</v>
      </c>
      <c r="L9" s="8">
        <f t="shared" si="0"/>
        <v>1359244.0368029026</v>
      </c>
    </row>
    <row r="10" spans="1:12">
      <c r="A10">
        <v>2033</v>
      </c>
      <c r="B10" s="1">
        <v>58879.253200608953</v>
      </c>
      <c r="C10" s="9">
        <v>66222.929999999993</v>
      </c>
      <c r="D10" s="9">
        <v>77273.95</v>
      </c>
      <c r="E10" s="9">
        <v>95178.86</v>
      </c>
      <c r="F10" s="9">
        <v>125945.8</v>
      </c>
      <c r="G10" s="9">
        <v>181150.99</v>
      </c>
      <c r="H10" s="9">
        <v>283424.37</v>
      </c>
      <c r="I10" s="9">
        <v>530047.14</v>
      </c>
      <c r="L10" s="8">
        <f t="shared" si="0"/>
        <v>1418123.2932006088</v>
      </c>
    </row>
    <row r="11" spans="1:12">
      <c r="A11">
        <v>2034</v>
      </c>
      <c r="B11" s="1">
        <v>53584.541568160115</v>
      </c>
      <c r="C11" s="9">
        <v>58879.25</v>
      </c>
      <c r="D11" s="9">
        <v>66222.929999999993</v>
      </c>
      <c r="E11" s="9">
        <v>77273.95</v>
      </c>
      <c r="F11" s="9">
        <v>95178.86</v>
      </c>
      <c r="G11" s="9">
        <v>125945.8</v>
      </c>
      <c r="H11" s="9">
        <v>181150.99</v>
      </c>
      <c r="I11" s="9">
        <v>283424.37</v>
      </c>
      <c r="J11" s="9">
        <v>530047.14</v>
      </c>
      <c r="L11" s="8">
        <f t="shared" si="0"/>
        <v>1471707.8315681601</v>
      </c>
    </row>
    <row r="12" spans="1:12">
      <c r="A12">
        <v>2035</v>
      </c>
      <c r="B12" s="1">
        <v>49459.718189210675</v>
      </c>
      <c r="C12" s="9">
        <v>53584.54</v>
      </c>
      <c r="D12" s="9">
        <v>58879.25</v>
      </c>
      <c r="E12" s="9">
        <v>66222.929999999993</v>
      </c>
      <c r="F12" s="9">
        <v>77273.95</v>
      </c>
      <c r="G12" s="9">
        <v>95178.86</v>
      </c>
      <c r="H12" s="9">
        <v>125945.8</v>
      </c>
      <c r="I12" s="9">
        <v>181150.99</v>
      </c>
      <c r="J12" s="9">
        <v>283424.37</v>
      </c>
      <c r="K12" s="9">
        <v>530047.14</v>
      </c>
      <c r="L12" s="8">
        <f t="shared" si="0"/>
        <v>1521167.5481892107</v>
      </c>
    </row>
    <row r="13" spans="1:12">
      <c r="B13" s="1"/>
      <c r="C13" s="9"/>
      <c r="D13" s="9"/>
      <c r="E13" s="9"/>
      <c r="F13" s="9"/>
      <c r="G13" s="9"/>
      <c r="H13" s="9"/>
      <c r="I13" s="9"/>
      <c r="J13" s="9"/>
      <c r="K13" s="9"/>
    </row>
    <row r="14" spans="1:12">
      <c r="A14" t="s">
        <v>21</v>
      </c>
      <c r="B14" s="1">
        <f>SUM(B3:K12)</f>
        <v>11737720.442588964</v>
      </c>
      <c r="C14" s="9"/>
      <c r="D14" s="9"/>
      <c r="E14" s="9"/>
      <c r="F14" s="9"/>
      <c r="G14" s="9"/>
      <c r="H14" s="9"/>
      <c r="I14" s="9"/>
      <c r="J14" s="9"/>
      <c r="K14" s="9"/>
    </row>
    <row r="15" spans="1:12">
      <c r="A15" t="s">
        <v>20</v>
      </c>
      <c r="B15" s="1">
        <f>B14/10</f>
        <v>1173772.0442588965</v>
      </c>
      <c r="C15" s="9"/>
      <c r="D15" s="9"/>
      <c r="E15" s="9"/>
      <c r="F15" s="9"/>
      <c r="G15" s="9"/>
      <c r="H15" s="9"/>
      <c r="I15" s="9"/>
      <c r="J15" s="9"/>
      <c r="K15" s="9"/>
    </row>
    <row r="16" spans="1:12">
      <c r="B16" s="1"/>
      <c r="C16" s="9"/>
      <c r="D16" s="9"/>
      <c r="E16" s="9"/>
      <c r="F16" s="9"/>
      <c r="G16" s="9"/>
      <c r="H16" s="9"/>
      <c r="I16" s="9"/>
      <c r="J16" s="9"/>
      <c r="K16" s="9"/>
    </row>
    <row r="17" spans="2:11">
      <c r="B17" s="1"/>
      <c r="C17" s="9"/>
      <c r="D17" s="9"/>
      <c r="E17" s="9"/>
      <c r="F17" s="9"/>
      <c r="G17" s="9"/>
      <c r="H17" s="9"/>
      <c r="I17" s="9"/>
      <c r="J17" s="9"/>
      <c r="K17" s="9"/>
    </row>
    <row r="18" spans="2:11">
      <c r="B18" s="1"/>
      <c r="C18" s="9"/>
      <c r="D18" s="9"/>
      <c r="E18" s="9"/>
      <c r="F18" s="9"/>
      <c r="G18" s="9"/>
      <c r="H18" s="9"/>
      <c r="I18" s="9"/>
      <c r="J18" s="9"/>
      <c r="K18" s="9"/>
    </row>
    <row r="19" spans="2:11">
      <c r="B19" s="1"/>
      <c r="C19" s="9"/>
      <c r="D19" s="9"/>
      <c r="E19" s="9"/>
      <c r="F19" s="9"/>
      <c r="G19" s="9"/>
      <c r="H19" s="9"/>
      <c r="I19" s="9"/>
      <c r="J19" s="9"/>
      <c r="K19" s="9"/>
    </row>
    <row r="20" spans="2:11">
      <c r="B20" s="1"/>
      <c r="C20" s="9"/>
      <c r="D20" s="9"/>
      <c r="E20" s="9"/>
      <c r="F20" s="9"/>
      <c r="G20" s="9"/>
      <c r="H20" s="9"/>
      <c r="I20" s="9"/>
      <c r="J20" s="9"/>
      <c r="K20" s="9"/>
    </row>
    <row r="21" spans="2:11">
      <c r="B21" s="1"/>
      <c r="C21" s="9"/>
      <c r="D21" s="9"/>
      <c r="E21" s="9"/>
      <c r="F21" s="9"/>
      <c r="G21" s="9"/>
      <c r="H21" s="9"/>
      <c r="I21" s="9"/>
      <c r="J21" s="9"/>
      <c r="K21" s="9"/>
    </row>
    <row r="22" spans="2:11">
      <c r="B22" s="1"/>
      <c r="C22" s="9"/>
      <c r="D22" s="9"/>
      <c r="E22" s="9"/>
      <c r="F22" s="9"/>
      <c r="G22" s="9"/>
      <c r="H22" s="9"/>
      <c r="I22" s="9"/>
      <c r="J22" s="9"/>
      <c r="K22" s="9"/>
    </row>
    <row r="23" spans="2:11">
      <c r="B23" s="1"/>
      <c r="C23" s="9"/>
      <c r="D23" s="9"/>
      <c r="E23" s="9"/>
      <c r="F23" s="9"/>
      <c r="G23" s="9"/>
      <c r="H23" s="9"/>
      <c r="I23" s="9"/>
      <c r="J23" s="9"/>
      <c r="K23" s="9"/>
    </row>
    <row r="24" spans="2:11">
      <c r="B24" s="1"/>
      <c r="C24" s="9"/>
      <c r="D24" s="9"/>
      <c r="E24" s="9"/>
      <c r="F24" s="9"/>
      <c r="G24" s="9"/>
      <c r="H24" s="9"/>
      <c r="I24" s="9"/>
      <c r="J24" s="9"/>
      <c r="K24" s="9"/>
    </row>
    <row r="25" spans="2:11">
      <c r="B25" s="1"/>
      <c r="C25" s="9"/>
      <c r="D25" s="9"/>
      <c r="E25" s="9"/>
      <c r="F25" s="9"/>
      <c r="G25" s="9"/>
      <c r="H25" s="9"/>
      <c r="I25" s="9"/>
      <c r="J25" s="9"/>
      <c r="K25" s="9"/>
    </row>
    <row r="26" spans="2:11">
      <c r="B26" s="1"/>
      <c r="C26" s="9"/>
      <c r="D26" s="9"/>
      <c r="E26" s="9"/>
      <c r="F26" s="9"/>
      <c r="G26" s="9"/>
      <c r="H26" s="9"/>
      <c r="I26" s="9"/>
      <c r="J26" s="9"/>
      <c r="K26" s="9"/>
    </row>
    <row r="27" spans="2:11">
      <c r="B27" s="1"/>
      <c r="C27" s="9"/>
      <c r="D27" s="9"/>
      <c r="E27" s="9"/>
      <c r="F27" s="9"/>
      <c r="G27" s="9"/>
      <c r="H27" s="9"/>
      <c r="I27" s="9"/>
      <c r="J27" s="9"/>
      <c r="K27" s="9"/>
    </row>
    <row r="28" spans="2:11">
      <c r="B28" s="1"/>
      <c r="C28" s="9"/>
      <c r="D28" s="9"/>
      <c r="E28" s="9"/>
      <c r="F28" s="9"/>
      <c r="G28" s="9"/>
      <c r="H28" s="9"/>
      <c r="I28" s="9"/>
      <c r="J28" s="9"/>
      <c r="K28" s="9"/>
    </row>
    <row r="29" spans="2:11">
      <c r="B29" s="1"/>
      <c r="C29" s="9"/>
      <c r="D29" s="9"/>
      <c r="E29" s="9"/>
      <c r="F29" s="9"/>
      <c r="G29" s="9"/>
      <c r="H29" s="9"/>
      <c r="I29" s="9"/>
      <c r="J29" s="9"/>
      <c r="K29" s="9"/>
    </row>
    <row r="30" spans="2:11">
      <c r="B30" s="1"/>
      <c r="C30" s="9"/>
      <c r="D30" s="9"/>
      <c r="E30" s="9"/>
      <c r="F30" s="9"/>
      <c r="G30" s="9"/>
      <c r="H30" s="9"/>
      <c r="I30" s="9"/>
      <c r="J30" s="9"/>
      <c r="K30" s="9"/>
    </row>
    <row r="31" spans="2:11">
      <c r="B31" s="1"/>
      <c r="C31" s="9"/>
      <c r="D31" s="9"/>
      <c r="E31" s="9"/>
      <c r="F31" s="9"/>
      <c r="G31" s="9"/>
      <c r="H31" s="9"/>
      <c r="I31" s="9"/>
      <c r="J31" s="9"/>
      <c r="K31" s="9"/>
    </row>
    <row r="32" spans="2:11">
      <c r="B32" s="1"/>
      <c r="C32" s="9"/>
      <c r="D32" s="9"/>
      <c r="E32" s="9"/>
      <c r="F32" s="9"/>
      <c r="G32" s="9"/>
      <c r="H32" s="9"/>
      <c r="I32" s="9"/>
      <c r="J32" s="9"/>
      <c r="K32" s="9"/>
    </row>
    <row r="33" spans="2:11">
      <c r="B33" s="1"/>
      <c r="C33" s="9"/>
      <c r="D33" s="9"/>
      <c r="E33" s="9"/>
      <c r="F33" s="9"/>
      <c r="G33" s="9"/>
      <c r="H33" s="9"/>
      <c r="I33" s="9"/>
      <c r="J33" s="9"/>
      <c r="K33" s="9"/>
    </row>
    <row r="34" spans="2:11">
      <c r="B34" s="1"/>
      <c r="C34" s="9"/>
      <c r="D34" s="9"/>
      <c r="E34" s="9"/>
      <c r="F34" s="9"/>
      <c r="G34" s="9"/>
      <c r="H34" s="9"/>
      <c r="I34" s="9"/>
      <c r="J34" s="9"/>
      <c r="K34" s="9"/>
    </row>
    <row r="35" spans="2:11">
      <c r="B35" s="1"/>
      <c r="C35" s="9"/>
      <c r="D35" s="9"/>
      <c r="E35" s="9"/>
      <c r="F35" s="9"/>
      <c r="G35" s="9"/>
      <c r="H35" s="9"/>
      <c r="I35" s="9"/>
      <c r="J35" s="9"/>
      <c r="K35" s="9"/>
    </row>
    <row r="36" spans="2:11">
      <c r="B36" s="1"/>
      <c r="C36" s="9"/>
      <c r="D36" s="9"/>
      <c r="E36" s="9"/>
      <c r="F36" s="9"/>
      <c r="G36" s="9"/>
      <c r="H36" s="9"/>
      <c r="I36" s="9"/>
      <c r="J36" s="9"/>
      <c r="K36" s="9"/>
    </row>
    <row r="37" spans="2:11">
      <c r="B37" s="1"/>
      <c r="C37" s="9"/>
      <c r="D37" s="9"/>
      <c r="E37" s="9"/>
      <c r="F37" s="9"/>
      <c r="G37" s="9"/>
      <c r="H37" s="9"/>
      <c r="I37" s="9"/>
      <c r="J37" s="9"/>
      <c r="K37" s="9"/>
    </row>
    <row r="38" spans="2:11">
      <c r="B38" s="1"/>
      <c r="C38" s="9"/>
      <c r="D38" s="9"/>
      <c r="E38" s="9"/>
      <c r="F38" s="9"/>
      <c r="G38" s="9"/>
      <c r="H38" s="9"/>
      <c r="I38" s="9"/>
      <c r="J38" s="9"/>
      <c r="K38" s="9"/>
    </row>
    <row r="39" spans="2:11">
      <c r="B39" s="1"/>
      <c r="C39" s="9"/>
      <c r="D39" s="9"/>
      <c r="E39" s="9"/>
      <c r="F39" s="9"/>
      <c r="G39" s="9"/>
      <c r="H39" s="9"/>
      <c r="I39" s="9"/>
      <c r="J39" s="9"/>
      <c r="K39" s="9"/>
    </row>
    <row r="40" spans="2:11">
      <c r="B40" s="1"/>
      <c r="C40" s="9"/>
      <c r="D40" s="9"/>
      <c r="E40" s="9"/>
      <c r="F40" s="9"/>
      <c r="G40" s="9"/>
      <c r="H40" s="9"/>
      <c r="I40" s="9"/>
      <c r="J40" s="9"/>
      <c r="K40" s="9"/>
    </row>
    <row r="41" spans="2:11">
      <c r="B41" s="1"/>
      <c r="C41" s="9"/>
      <c r="D41" s="9"/>
      <c r="E41" s="9"/>
      <c r="F41" s="9"/>
      <c r="G41" s="9"/>
      <c r="H41" s="9"/>
      <c r="I41" s="9"/>
      <c r="J41" s="9"/>
      <c r="K41" s="9"/>
    </row>
    <row r="42" spans="2:11">
      <c r="B42" s="1"/>
      <c r="C42" s="9"/>
      <c r="D42" s="9"/>
      <c r="E42" s="9"/>
      <c r="F42" s="9"/>
      <c r="G42" s="9"/>
      <c r="H42" s="9"/>
      <c r="I42" s="9"/>
      <c r="J42" s="9"/>
      <c r="K42" s="9"/>
    </row>
    <row r="43" spans="2:11">
      <c r="C43" s="9"/>
      <c r="D43" s="9"/>
      <c r="E43" s="9"/>
      <c r="F43" s="9"/>
      <c r="G43" s="9"/>
      <c r="H43" s="9"/>
      <c r="I43" s="9"/>
      <c r="J43" s="9"/>
      <c r="K43" s="9"/>
    </row>
    <row r="44" spans="2:11">
      <c r="B44" s="8"/>
      <c r="D44" s="9"/>
      <c r="E44" s="9"/>
      <c r="F44" s="9"/>
      <c r="G44" s="9"/>
      <c r="H44" s="9"/>
      <c r="I44" s="9"/>
      <c r="J44" s="9"/>
      <c r="K44" s="9"/>
    </row>
    <row r="45" spans="2:11">
      <c r="E45" s="9"/>
      <c r="F45" s="9"/>
      <c r="G45" s="9"/>
      <c r="H45" s="9"/>
      <c r="I45" s="9"/>
      <c r="J45" s="9"/>
      <c r="K45" s="9"/>
    </row>
    <row r="46" spans="2:11">
      <c r="F46" s="9"/>
      <c r="G46" s="9"/>
      <c r="H46" s="9"/>
      <c r="I46" s="9"/>
      <c r="J46" s="9"/>
      <c r="K46" s="9"/>
    </row>
    <row r="47" spans="2:11">
      <c r="G47" s="9"/>
      <c r="H47" s="9"/>
      <c r="I47" s="9"/>
      <c r="J47" s="9"/>
      <c r="K47" s="9"/>
    </row>
    <row r="48" spans="2:11">
      <c r="H48" s="9"/>
      <c r="I48" s="9"/>
      <c r="J48" s="9"/>
      <c r="K48" s="9"/>
    </row>
    <row r="49" spans="9:11">
      <c r="I49" s="9"/>
      <c r="J49" s="9"/>
      <c r="K49" s="9"/>
    </row>
    <row r="50" spans="9:11">
      <c r="J50" s="9"/>
      <c r="K50" s="9"/>
    </row>
    <row r="51" spans="9:11">
      <c r="K51" s="9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G42"/>
  <sheetViews>
    <sheetView zoomScale="226" workbookViewId="0">
      <selection activeCell="C12" sqref="C12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t="s">
        <v>0</v>
      </c>
      <c r="B1" t="s">
        <v>1</v>
      </c>
      <c r="C1" s="2" t="s">
        <v>2</v>
      </c>
    </row>
    <row r="2" spans="1:7">
      <c r="G2" s="1" t="s">
        <v>9</v>
      </c>
    </row>
    <row r="3" spans="1:7">
      <c r="A3">
        <v>30.00965219319507</v>
      </c>
      <c r="B3">
        <v>32.520492789975343</v>
      </c>
      <c r="C3" s="1">
        <f t="shared" ref="C3:C42" si="0">A3*0.4*$G$3 + B3*0.6*$G$3</f>
        <v>138261.37879039178</v>
      </c>
      <c r="G3" s="3">
        <v>4387</v>
      </c>
    </row>
    <row r="4" spans="1:7">
      <c r="A4">
        <v>16.987954339783851</v>
      </c>
      <c r="B4">
        <v>18.412798044651471</v>
      </c>
      <c r="C4" s="1">
        <f t="shared" si="0"/>
        <v>78276.6292885843</v>
      </c>
    </row>
    <row r="5" spans="1:7">
      <c r="A5">
        <v>11.57380885566908</v>
      </c>
      <c r="B5">
        <v>12.549911822638251</v>
      </c>
      <c r="C5" s="1">
        <f t="shared" si="0"/>
        <v>53343.597679476501</v>
      </c>
    </row>
    <row r="6" spans="1:7">
      <c r="A6">
        <v>8.632595654473187</v>
      </c>
      <c r="B6">
        <v>9.3670054257693689</v>
      </c>
      <c r="C6" s="1">
        <f t="shared" si="0"/>
        <v>39804.310536179677</v>
      </c>
    </row>
    <row r="7" spans="1:7">
      <c r="A7">
        <v>6.9753653233964599</v>
      </c>
      <c r="B7">
        <v>7.5753266113888129</v>
      </c>
      <c r="C7" s="1">
        <f t="shared" si="0"/>
        <v>32180.14577599374</v>
      </c>
    </row>
    <row r="8" spans="1:7">
      <c r="A8">
        <v>5.9936492958398118</v>
      </c>
      <c r="B8">
        <v>6.5153692492147384</v>
      </c>
      <c r="C8" s="1">
        <f t="shared" si="0"/>
        <v>27667.410722122735</v>
      </c>
    </row>
    <row r="9" spans="1:7">
      <c r="A9">
        <v>5.3715258575554161</v>
      </c>
      <c r="B9">
        <v>5.8447451583360577</v>
      </c>
      <c r="C9" s="1">
        <f t="shared" si="0"/>
        <v>24810.491780610413</v>
      </c>
    </row>
    <row r="10" spans="1:7">
      <c r="A10">
        <v>4.9435315731825353</v>
      </c>
      <c r="B10">
        <v>5.3841525533161132</v>
      </c>
      <c r="C10" s="1">
        <f t="shared" si="0"/>
        <v>22847.075555459385</v>
      </c>
    </row>
    <row r="11" spans="1:7">
      <c r="A11">
        <v>4.6225078275165901</v>
      </c>
      <c r="B11">
        <v>5.0391601637318741</v>
      </c>
      <c r="C11" s="1">
        <f t="shared" si="0"/>
        <v>21375.654118701153</v>
      </c>
    </row>
    <row r="12" spans="1:7">
      <c r="A12">
        <v>4.3623283808112392</v>
      </c>
      <c r="B12">
        <v>4.7598055311291132</v>
      </c>
      <c r="C12" s="1">
        <f t="shared" si="0"/>
        <v>20183.773961685616</v>
      </c>
    </row>
    <row r="13" spans="1:7">
      <c r="A13">
        <v>4.1384543635296511</v>
      </c>
      <c r="B13">
        <v>4.5195190769488249</v>
      </c>
      <c r="C13" s="1">
        <f t="shared" si="0"/>
        <v>19158.43783146653</v>
      </c>
    </row>
    <row r="14" spans="1:7">
      <c r="A14">
        <v>3.937732847632494</v>
      </c>
      <c r="B14">
        <v>4.3040679745768431</v>
      </c>
      <c r="C14" s="1">
        <f t="shared" si="0"/>
        <v>18239.101323706665</v>
      </c>
    </row>
    <row r="15" spans="1:7">
      <c r="A15">
        <v>3.7530278707419309</v>
      </c>
      <c r="B15">
        <v>4.1057378646719469</v>
      </c>
      <c r="C15" s="1">
        <f t="shared" si="0"/>
        <v>17392.936514967441</v>
      </c>
    </row>
    <row r="16" spans="1:7">
      <c r="A16">
        <v>3.580389571916371</v>
      </c>
      <c r="B16">
        <v>3.9202653685046021</v>
      </c>
      <c r="C16" s="1">
        <f t="shared" si="0"/>
        <v>16601.790123776664</v>
      </c>
    </row>
    <row r="17" spans="1:3">
      <c r="A17">
        <v>3.417559876049566</v>
      </c>
      <c r="B17">
        <v>3.7452190228488238</v>
      </c>
      <c r="C17" s="1">
        <f t="shared" si="0"/>
        <v>15855.299582434453</v>
      </c>
    </row>
    <row r="18" spans="1:3">
      <c r="A18">
        <v>3.263183030652741</v>
      </c>
      <c r="B18">
        <v>3.579143998906166</v>
      </c>
      <c r="C18" s="1">
        <f t="shared" si="0"/>
        <v>15147.256416110238</v>
      </c>
    </row>
    <row r="19" spans="1:3">
      <c r="A19">
        <v>3.1163881772276998</v>
      </c>
      <c r="B19">
        <v>3.4211099262216802</v>
      </c>
      <c r="C19" s="1">
        <f t="shared" si="0"/>
        <v>14473.683521199873</v>
      </c>
    </row>
    <row r="20" spans="1:3">
      <c r="A20">
        <v>2.9765683948116548</v>
      </c>
      <c r="B20">
        <v>3.2704715788027752</v>
      </c>
      <c r="C20" s="1">
        <f t="shared" si="0"/>
        <v>13831.817508940157</v>
      </c>
    </row>
    <row r="21" spans="1:3">
      <c r="A21">
        <v>2.8432635417130001</v>
      </c>
      <c r="B21">
        <v>3.1267420086958659</v>
      </c>
      <c r="C21" s="1">
        <f t="shared" si="0"/>
        <v>13219.569178287231</v>
      </c>
    </row>
    <row r="22" spans="1:3">
      <c r="A22">
        <v>2.7160979555368581</v>
      </c>
      <c r="B22">
        <v>2.9895251037374679</v>
      </c>
      <c r="C22" s="1">
        <f t="shared" si="0"/>
        <v>12635.236670433842</v>
      </c>
    </row>
    <row r="23" spans="1:3">
      <c r="A23">
        <v>2.59474716010061</v>
      </c>
      <c r="B23">
        <v>2.8584795633981912</v>
      </c>
      <c r="C23" s="1">
        <f t="shared" si="0"/>
        <v>12077.352223321268</v>
      </c>
    </row>
    <row r="24" spans="1:3">
      <c r="A24">
        <v>2.4789199211009771</v>
      </c>
      <c r="B24">
        <v>2.73329949737338</v>
      </c>
      <c r="C24" s="1">
        <f t="shared" si="0"/>
        <v>11544.599614534207</v>
      </c>
    </row>
    <row r="25" spans="1:3">
      <c r="A25">
        <v>2.3683484330857141</v>
      </c>
      <c r="B25">
        <v>2.6137038291373118</v>
      </c>
      <c r="C25" s="1">
        <f t="shared" si="0"/>
        <v>11035.769049434042</v>
      </c>
    </row>
    <row r="26" spans="1:3">
      <c r="A26">
        <v>2.2627828228948439</v>
      </c>
      <c r="B26">
        <v>2.4994303726551741</v>
      </c>
      <c r="C26" s="1">
        <f t="shared" si="0"/>
        <v>10549.731924518821</v>
      </c>
    </row>
    <row r="27" spans="1:3">
      <c r="A27">
        <v>2.16198795251537</v>
      </c>
      <c r="B27">
        <v>2.3902323977628162</v>
      </c>
      <c r="C27" s="1">
        <f t="shared" si="0"/>
        <v>10085.426176465255</v>
      </c>
    </row>
    <row r="28" spans="1:3">
      <c r="A28">
        <v>2.065741454276818</v>
      </c>
      <c r="B28">
        <v>2.2858765286843168</v>
      </c>
      <c r="C28" s="1">
        <f t="shared" si="0"/>
        <v>9641.8473027678192</v>
      </c>
    </row>
    <row r="29" spans="1:3">
      <c r="A29">
        <v>1.9738324333458011</v>
      </c>
      <c r="B29">
        <v>2.1861413638588609</v>
      </c>
      <c r="C29" s="1">
        <f t="shared" si="0"/>
        <v>9218.0424519845055</v>
      </c>
    </row>
    <row r="30" spans="1:3">
      <c r="A30">
        <v>1.886060537877251</v>
      </c>
      <c r="B30">
        <v>2.0908164926691861</v>
      </c>
      <c r="C30" s="1">
        <f t="shared" si="0"/>
        <v>8813.1062038708315</v>
      </c>
    </row>
    <row r="31" spans="1:3">
      <c r="A31">
        <v>1.802235237463397</v>
      </c>
      <c r="B31">
        <v>1.999701736576337</v>
      </c>
      <c r="C31" s="1">
        <f t="shared" si="0"/>
        <v>8426.177305717003</v>
      </c>
    </row>
    <row r="32" spans="1:3">
      <c r="A32">
        <v>1.7221752247669</v>
      </c>
      <c r="B32">
        <v>1.9126065225557529</v>
      </c>
      <c r="C32" s="1">
        <f t="shared" si="0"/>
        <v>8056.4359730922079</v>
      </c>
    </row>
    <row r="33" spans="1:3">
      <c r="A33">
        <v>1.6457078944949519</v>
      </c>
      <c r="B33">
        <v>1.8293493392475899</v>
      </c>
      <c r="C33" s="1">
        <f t="shared" si="0"/>
        <v>7703.1015440272477</v>
      </c>
    </row>
    <row r="34" spans="1:3">
      <c r="A34">
        <v>1.5726688747120221</v>
      </c>
      <c r="B34">
        <v>1.7497572488004021</v>
      </c>
      <c r="C34" s="1">
        <f t="shared" si="0"/>
        <v>7365.4303716370741</v>
      </c>
    </row>
    <row r="35" spans="1:3">
      <c r="A35">
        <v>1.5029015965484549</v>
      </c>
      <c r="B35">
        <v>1.6736654393530299</v>
      </c>
      <c r="C35" s="1">
        <f t="shared" si="0"/>
        <v>7042.713891088275</v>
      </c>
    </row>
    <row r="36" spans="1:3">
      <c r="A36">
        <v>1.436256894256758</v>
      </c>
      <c r="B36">
        <v>1.6009168094873489</v>
      </c>
      <c r="C36" s="1">
        <f t="shared" si="0"/>
        <v>6734.2768239743582</v>
      </c>
    </row>
    <row r="37" spans="1:3">
      <c r="A37">
        <v>1.3725926307444121</v>
      </c>
      <c r="B37">
        <v>1.5313615794142379</v>
      </c>
      <c r="C37" s="1">
        <f t="shared" si="0"/>
        <v>6439.4754977644516</v>
      </c>
    </row>
    <row r="38" spans="1:3">
      <c r="A38">
        <v>1.3117733454202301</v>
      </c>
      <c r="B38">
        <v>1.4648569255076751</v>
      </c>
      <c r="C38" s="1">
        <f t="shared" si="0"/>
        <v>6157.6962658647226</v>
      </c>
    </row>
    <row r="39" spans="1:3">
      <c r="A39">
        <v>1.253669922144492</v>
      </c>
      <c r="B39">
        <v>1.401266635830813</v>
      </c>
      <c r="C39" s="1">
        <f t="shared" si="0"/>
        <v>5888.35401821302</v>
      </c>
    </row>
    <row r="40" spans="1:3">
      <c r="A40">
        <v>1.1981592756147521</v>
      </c>
      <c r="B40">
        <v>1.3404607848823009</v>
      </c>
      <c r="C40" s="1">
        <f t="shared" si="0"/>
        <v>5630.89077481596</v>
      </c>
    </row>
    <row r="41" spans="1:3">
      <c r="A41">
        <v>1.1451240548341941</v>
      </c>
      <c r="B41">
        <v>1.2823154261299361</v>
      </c>
      <c r="C41" s="1">
        <f t="shared" si="0"/>
        <v>5384.7743560822619</v>
      </c>
    </row>
    <row r="42" spans="1:3">
      <c r="A42">
        <v>1.0944523625117359</v>
      </c>
      <c r="B42">
        <v>1.2267123011204979</v>
      </c>
      <c r="C42" s="1">
        <f t="shared" si="0"/>
        <v>5149.4971247449685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G42"/>
  <sheetViews>
    <sheetView zoomScale="249" workbookViewId="0">
      <selection activeCell="C10" sqref="C10"/>
    </sheetView>
  </sheetViews>
  <sheetFormatPr baseColWidth="10" defaultRowHeight="16"/>
  <cols>
    <col min="1" max="4" width="8.83203125"/>
    <col min="5" max="5" width="11.5" style="1" bestFit="1" customWidth="1"/>
    <col min="6" max="6" width="10.83203125" style="1"/>
    <col min="7" max="7" width="11" style="1" bestFit="1" customWidth="1"/>
    <col min="8" max="16384" width="10.83203125" style="1"/>
  </cols>
  <sheetData>
    <row r="1" spans="1:7">
      <c r="A1" t="s">
        <v>0</v>
      </c>
      <c r="B1" t="s">
        <v>3</v>
      </c>
      <c r="C1" t="s">
        <v>4</v>
      </c>
      <c r="D1" t="s">
        <v>1</v>
      </c>
      <c r="E1" s="2" t="s">
        <v>2</v>
      </c>
    </row>
    <row r="2" spans="1:7">
      <c r="G2" s="1" t="s">
        <v>9</v>
      </c>
    </row>
    <row r="3" spans="1:7">
      <c r="A3">
        <v>32.454500939573443</v>
      </c>
      <c r="B3">
        <v>32.541203692547008</v>
      </c>
      <c r="C3">
        <v>32.541203692547008</v>
      </c>
      <c r="D3">
        <v>30.448783101555762</v>
      </c>
      <c r="E3" s="1">
        <f>A3*0.2*$G$3 + B3*0.15*$G$3 + C3*0.15*$G$3 + D3*0.4*$G$3</f>
        <v>131814.34275029189</v>
      </c>
      <c r="G3" s="1">
        <v>4636</v>
      </c>
    </row>
    <row r="4" spans="1:7">
      <c r="A4">
        <v>18.375342256074731</v>
      </c>
      <c r="B4">
        <v>18.424553258170381</v>
      </c>
      <c r="C4">
        <v>18.424553258170381</v>
      </c>
      <c r="D4">
        <v>17.237111769010198</v>
      </c>
      <c r="E4" s="1">
        <f t="shared" ref="E4:E42" si="0">A4*0.2*$G$3 + B4*0.15*$G$3 + C4*0.15*$G$3 + D4*0.4*$G$3</f>
        <v>74626.986075748369</v>
      </c>
    </row>
    <row r="5" spans="1:7">
      <c r="A5">
        <v>12.524241687218289</v>
      </c>
      <c r="B5">
        <v>12.557968317817579</v>
      </c>
      <c r="C5">
        <v>12.557968317817579</v>
      </c>
      <c r="D5">
        <v>11.744436352874651</v>
      </c>
      <c r="E5" s="1">
        <f t="shared" si="0"/>
        <v>50856.98200158024</v>
      </c>
    </row>
    <row r="6" spans="1:7">
      <c r="A6">
        <v>9.3476787922117719</v>
      </c>
      <c r="B6">
        <v>9.3730711732124945</v>
      </c>
      <c r="C6">
        <v>9.3730711732124945</v>
      </c>
      <c r="D6">
        <v>8.7609025439806487</v>
      </c>
      <c r="E6" s="1">
        <f t="shared" si="0"/>
        <v>37949.452841400409</v>
      </c>
    </row>
    <row r="7" spans="1:7">
      <c r="A7">
        <v>7.559525069141027</v>
      </c>
      <c r="B7">
        <v>7.5802861389118732</v>
      </c>
      <c r="C7">
        <v>7.5802861389118732</v>
      </c>
      <c r="D7">
        <v>7.0801096562298271</v>
      </c>
      <c r="E7" s="1">
        <f t="shared" si="0"/>
        <v>30681.208952618785</v>
      </c>
    </row>
    <row r="8" spans="1:7">
      <c r="A8">
        <v>6.5016160582364222</v>
      </c>
      <c r="B8">
        <v>6.5196860114279502</v>
      </c>
      <c r="C8">
        <v>6.5196860114279502</v>
      </c>
      <c r="D8">
        <v>6.0846644343469478</v>
      </c>
      <c r="E8" s="1">
        <f t="shared" si="0"/>
        <v>26379.279440943785</v>
      </c>
    </row>
    <row r="9" spans="1:7">
      <c r="A9">
        <v>5.8322592677101186</v>
      </c>
      <c r="B9">
        <v>5.8486642736966603</v>
      </c>
      <c r="C9">
        <v>5.8486642736966603</v>
      </c>
      <c r="D9">
        <v>5.4540167694590496</v>
      </c>
      <c r="E9" s="1">
        <f t="shared" si="0"/>
        <v>23655.921762163001</v>
      </c>
    </row>
    <row r="10" spans="1:7">
      <c r="A10">
        <v>5.3725166207071027</v>
      </c>
      <c r="B10">
        <v>5.3878049938780164</v>
      </c>
      <c r="C10">
        <v>5.3878049938780164</v>
      </c>
      <c r="D10">
        <v>5.0202829698626914</v>
      </c>
      <c r="E10" s="1">
        <f t="shared" si="0"/>
        <v>21784.369335518546</v>
      </c>
    </row>
    <row r="11" spans="1:7">
      <c r="A11">
        <v>5.0281479619988314</v>
      </c>
      <c r="B11">
        <v>5.0426169222301516</v>
      </c>
      <c r="C11">
        <v>5.0426169222301516</v>
      </c>
      <c r="D11">
        <v>4.6950323027858936</v>
      </c>
      <c r="E11" s="1">
        <f t="shared" si="0"/>
        <v>20381.838308089173</v>
      </c>
    </row>
    <row r="12" spans="1:7">
      <c r="A12">
        <v>4.7492916217833283</v>
      </c>
      <c r="B12">
        <v>4.7631059691703159</v>
      </c>
      <c r="C12">
        <v>4.7631059691703159</v>
      </c>
      <c r="D12">
        <v>4.4314673811605827</v>
      </c>
      <c r="E12" s="1">
        <f t="shared" si="0"/>
        <v>19245.78408526376</v>
      </c>
    </row>
    <row r="13" spans="1:7">
      <c r="A13">
        <v>4.5094313569362283</v>
      </c>
      <c r="B13">
        <v>4.5226858177392204</v>
      </c>
      <c r="C13">
        <v>4.5226858177392204</v>
      </c>
      <c r="D13">
        <v>4.2046939643944086</v>
      </c>
      <c r="E13" s="1">
        <f t="shared" si="0"/>
        <v>18268.480677035972</v>
      </c>
    </row>
    <row r="14" spans="1:7">
      <c r="A14">
        <v>4.2943626893457889</v>
      </c>
      <c r="B14">
        <v>4.3071147447958351</v>
      </c>
      <c r="C14">
        <v>4.3071147447958351</v>
      </c>
      <c r="D14">
        <v>4.0013700615293466</v>
      </c>
      <c r="E14" s="1">
        <f t="shared" si="0"/>
        <v>17392.208914723484</v>
      </c>
    </row>
    <row r="15" spans="1:7">
      <c r="A15">
        <v>4.0963864305964011</v>
      </c>
      <c r="B15">
        <v>4.108673630090057</v>
      </c>
      <c r="C15">
        <v>4.108673630090057</v>
      </c>
      <c r="D15">
        <v>3.814258375512475</v>
      </c>
      <c r="E15" s="1">
        <f t="shared" si="0"/>
        <v>16585.673514728569</v>
      </c>
    </row>
    <row r="16" spans="1:7">
      <c r="A16">
        <v>3.9112474139993152</v>
      </c>
      <c r="B16">
        <v>3.9230965179304889</v>
      </c>
      <c r="C16">
        <v>3.9230965179304889</v>
      </c>
      <c r="D16">
        <v>3.6393540528445998</v>
      </c>
      <c r="E16" s="1">
        <f t="shared" si="0"/>
        <v>15831.569394992915</v>
      </c>
    </row>
    <row r="17" spans="1:5">
      <c r="A17">
        <v>3.7365187077333442</v>
      </c>
      <c r="B17">
        <v>3.7479505232364918</v>
      </c>
      <c r="C17">
        <v>3.7479505232364918</v>
      </c>
      <c r="D17">
        <v>3.4743685471407888</v>
      </c>
      <c r="E17" s="1">
        <f t="shared" si="0"/>
        <v>15120.018767345548</v>
      </c>
    </row>
    <row r="18" spans="1:5">
      <c r="A18">
        <v>3.570748063206679</v>
      </c>
      <c r="B18">
        <v>3.581780007696779</v>
      </c>
      <c r="C18">
        <v>3.581780007696779</v>
      </c>
      <c r="D18">
        <v>3.317928642280938</v>
      </c>
      <c r="E18" s="1">
        <f t="shared" si="0"/>
        <v>14445.104113155685</v>
      </c>
    </row>
    <row r="19" spans="1:5">
      <c r="A19">
        <v>3.4130066519001518</v>
      </c>
      <c r="B19">
        <v>3.423654117178534</v>
      </c>
      <c r="C19">
        <v>3.423654117178534</v>
      </c>
      <c r="D19">
        <v>3.169152944793078</v>
      </c>
      <c r="E19" s="1">
        <f t="shared" si="0"/>
        <v>13803.03513463801</v>
      </c>
    </row>
    <row r="20" spans="1:5">
      <c r="A20">
        <v>3.2626502337344139</v>
      </c>
      <c r="B20">
        <v>3.2729273164980932</v>
      </c>
      <c r="C20">
        <v>3.2729273164980932</v>
      </c>
      <c r="D20">
        <v>3.027427715453745</v>
      </c>
      <c r="E20" s="1">
        <f t="shared" si="0"/>
        <v>13191.178564041522</v>
      </c>
    </row>
    <row r="21" spans="1:5">
      <c r="A21">
        <v>3.1191925456364609</v>
      </c>
      <c r="B21">
        <v>3.1291124429751851</v>
      </c>
      <c r="C21">
        <v>3.1291124429751851</v>
      </c>
      <c r="D21">
        <v>2.892288012176901</v>
      </c>
      <c r="E21" s="1">
        <f t="shared" si="0"/>
        <v>12607.543803784858</v>
      </c>
    </row>
    <row r="22" spans="1:5">
      <c r="A22">
        <v>2.982237994322654</v>
      </c>
      <c r="B22">
        <v>2.9918132218041129</v>
      </c>
      <c r="C22">
        <v>2.9918132218041129</v>
      </c>
      <c r="D22">
        <v>2.7633544900034841</v>
      </c>
      <c r="E22" s="1">
        <f t="shared" si="0"/>
        <v>12050.509463483586</v>
      </c>
    </row>
    <row r="23" spans="1:5">
      <c r="A23">
        <v>2.8514457038355419</v>
      </c>
      <c r="B23">
        <v>2.8606882194018319</v>
      </c>
      <c r="C23">
        <v>2.8606882194018319</v>
      </c>
      <c r="D23">
        <v>2.6402996298637671</v>
      </c>
      <c r="E23" s="1">
        <f t="shared" si="0"/>
        <v>11518.677265759752</v>
      </c>
    </row>
    <row r="24" spans="1:5">
      <c r="A24">
        <v>2.7265101523598498</v>
      </c>
      <c r="B24">
        <v>2.7354314299998208</v>
      </c>
      <c r="C24">
        <v>2.7354314299998208</v>
      </c>
      <c r="D24">
        <v>2.5228295390156981</v>
      </c>
      <c r="E24" s="1">
        <f t="shared" si="0"/>
        <v>11010.793343262514</v>
      </c>
    </row>
    <row r="25" spans="1:5">
      <c r="A25">
        <v>2.6071505963122039</v>
      </c>
      <c r="B25">
        <v>2.6157616727567712</v>
      </c>
      <c r="C25">
        <v>2.6157616727567712</v>
      </c>
      <c r="D25">
        <v>2.4106740006795402</v>
      </c>
      <c r="E25" s="1">
        <f t="shared" si="0"/>
        <v>10525.705234230933</v>
      </c>
    </row>
    <row r="26" spans="1:5">
      <c r="A26">
        <v>2.49310515821989</v>
      </c>
      <c r="B26">
        <v>2.5014166649630738</v>
      </c>
      <c r="C26">
        <v>2.5014166649630738</v>
      </c>
      <c r="D26">
        <v>2.3035809025753671</v>
      </c>
      <c r="E26" s="1">
        <f t="shared" si="0"/>
        <v>10062.337826067887</v>
      </c>
    </row>
    <row r="27" spans="1:5">
      <c r="A27">
        <v>2.3841273983015872</v>
      </c>
      <c r="B27">
        <v>2.3921495854789279</v>
      </c>
      <c r="C27">
        <v>2.3921495854789279</v>
      </c>
      <c r="D27">
        <v>2.201312998001427</v>
      </c>
      <c r="E27" s="1">
        <f t="shared" si="0"/>
        <v>9619.6793906831699</v>
      </c>
    </row>
    <row r="28" spans="1:5">
      <c r="A28">
        <v>2.279984216537656</v>
      </c>
      <c r="B28">
        <v>2.287726972134223</v>
      </c>
      <c r="C28">
        <v>2.287726972134223</v>
      </c>
      <c r="D28">
        <v>2.1036459169079791</v>
      </c>
      <c r="E28" s="1">
        <f t="shared" si="0"/>
        <v>9196.7730267321494</v>
      </c>
    </row>
    <row r="29" spans="1:5">
      <c r="A29">
        <v>2.1804544746360408</v>
      </c>
      <c r="B29">
        <v>2.1879273408854281</v>
      </c>
      <c r="C29">
        <v>2.1879273408854281</v>
      </c>
      <c r="D29">
        <v>2.0103668537316541</v>
      </c>
      <c r="E29" s="1">
        <f t="shared" si="0"/>
        <v>8792.7110281459718</v>
      </c>
    </row>
    <row r="30" spans="1:5">
      <c r="A30">
        <v>2.0853280141316901</v>
      </c>
      <c r="B30">
        <v>2.0925402021146859</v>
      </c>
      <c r="C30">
        <v>2.0925402021146859</v>
      </c>
      <c r="D30">
        <v>1.9212736280152141</v>
      </c>
      <c r="E30" s="1">
        <f t="shared" si="0"/>
        <v>8406.630863595421</v>
      </c>
    </row>
    <row r="31" spans="1:5">
      <c r="A31">
        <v>1.9944048984711551</v>
      </c>
      <c r="B31">
        <v>2.001365301466151</v>
      </c>
      <c r="C31">
        <v>2.001365301466151</v>
      </c>
      <c r="D31">
        <v>1.836173956153919</v>
      </c>
      <c r="E31" s="1">
        <f t="shared" si="0"/>
        <v>8037.7120674334055</v>
      </c>
    </row>
    <row r="32" spans="1:5">
      <c r="A32">
        <v>1.907494787160668</v>
      </c>
      <c r="B32">
        <v>1.9142119930592729</v>
      </c>
      <c r="C32">
        <v>1.9142119930592729</v>
      </c>
      <c r="D32">
        <v>1.754884847927751</v>
      </c>
      <c r="E32" s="1">
        <f t="shared" si="0"/>
        <v>7685.1736685994292</v>
      </c>
    </row>
    <row r="33" spans="1:5">
      <c r="A33">
        <v>1.824416392490249</v>
      </c>
      <c r="B33">
        <v>1.8308986954592921</v>
      </c>
      <c r="C33">
        <v>1.8308986954592921</v>
      </c>
      <c r="D33">
        <v>1.67723208132711</v>
      </c>
      <c r="E33" s="1">
        <f t="shared" si="0"/>
        <v>7348.271956374736</v>
      </c>
    </row>
    <row r="34" spans="1:5">
      <c r="A34">
        <v>1.7449969918605841</v>
      </c>
      <c r="B34">
        <v>1.7512524033689849</v>
      </c>
      <c r="C34">
        <v>1.7512524033689849</v>
      </c>
      <c r="D34">
        <v>1.6030497303074711</v>
      </c>
      <c r="E34" s="1">
        <f t="shared" si="0"/>
        <v>7026.2984733408921</v>
      </c>
    </row>
    <row r="35" spans="1:5">
      <c r="A35">
        <v>1.6690719806943639</v>
      </c>
      <c r="B35">
        <v>1.675108239976794</v>
      </c>
      <c r="C35">
        <v>1.675108239976794</v>
      </c>
      <c r="D35">
        <v>1.532179731341212</v>
      </c>
      <c r="E35" s="1">
        <f t="shared" si="0"/>
        <v>6718.5781744586839</v>
      </c>
    </row>
    <row r="36" spans="1:5">
      <c r="A36">
        <v>1.5964844572758261</v>
      </c>
      <c r="B36">
        <v>1.602309041289</v>
      </c>
      <c r="C36">
        <v>1.602309041289</v>
      </c>
      <c r="D36">
        <v>1.464471480609665</v>
      </c>
      <c r="E36" s="1">
        <f t="shared" si="0"/>
        <v>6424.4677170534505</v>
      </c>
    </row>
    <row r="37" spans="1:5">
      <c r="A37">
        <v>1.527084834289113</v>
      </c>
      <c r="B37">
        <v>1.532704967202984</v>
      </c>
      <c r="C37">
        <v>1.532704967202984</v>
      </c>
      <c r="D37">
        <v>1.399781456893137</v>
      </c>
      <c r="E37" s="1">
        <f t="shared" si="0"/>
        <v>6143.3538604014084</v>
      </c>
    </row>
    <row r="38" spans="1:5">
      <c r="A38">
        <v>1.4607304736829909</v>
      </c>
      <c r="B38">
        <v>1.4661531359403981</v>
      </c>
      <c r="C38">
        <v>1.4661531359403981</v>
      </c>
      <c r="D38">
        <v>1.337972866964932</v>
      </c>
      <c r="E38" s="1">
        <f t="shared" si="0"/>
        <v>5874.6519611645454</v>
      </c>
    </row>
    <row r="39" spans="1:5">
      <c r="A39">
        <v>1.397285342500856</v>
      </c>
      <c r="B39">
        <v>1.402517279476418</v>
      </c>
      <c r="C39">
        <v>1.402517279476418</v>
      </c>
      <c r="D39">
        <v>1.27891531124942</v>
      </c>
      <c r="E39" s="1">
        <f t="shared" si="0"/>
        <v>5617.8045550435199</v>
      </c>
    </row>
    <row r="40" spans="1:5">
      <c r="A40">
        <v>1.3366196879146339</v>
      </c>
      <c r="B40">
        <v>1.341667418197545</v>
      </c>
      <c r="C40">
        <v>1.341667418197545</v>
      </c>
      <c r="D40">
        <v>1.2224844680576299</v>
      </c>
      <c r="E40" s="1">
        <f t="shared" si="0"/>
        <v>5372.2800174296626</v>
      </c>
    </row>
    <row r="41" spans="1:5">
      <c r="A41">
        <v>1.278609730026053</v>
      </c>
      <c r="B41">
        <v>1.2834795533493799</v>
      </c>
      <c r="C41">
        <v>1.2834795533493799</v>
      </c>
      <c r="D41">
        <v>1.1685617950340179</v>
      </c>
      <c r="E41" s="1">
        <f t="shared" si="0"/>
        <v>5137.5712971895564</v>
      </c>
    </row>
    <row r="42" spans="1:5">
      <c r="A42">
        <v>1.223137371229631</v>
      </c>
      <c r="B42">
        <v>1.227835376069031</v>
      </c>
      <c r="C42">
        <v>1.227835376069031</v>
      </c>
      <c r="D42">
        <v>1.1170342466526131</v>
      </c>
      <c r="E42" s="1">
        <f t="shared" si="0"/>
        <v>4913.1947186335274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H42"/>
  <sheetViews>
    <sheetView zoomScale="306" workbookViewId="0">
      <selection activeCell="H5" sqref="H5"/>
    </sheetView>
  </sheetViews>
  <sheetFormatPr baseColWidth="10" defaultRowHeight="16"/>
  <cols>
    <col min="1" max="2" width="10.83203125" style="1"/>
    <col min="5" max="16384" width="10.83203125" style="1"/>
  </cols>
  <sheetData>
    <row r="1" spans="1:8">
      <c r="A1" s="5" t="s">
        <v>0</v>
      </c>
      <c r="B1" s="5" t="s">
        <v>1</v>
      </c>
      <c r="C1" t="s">
        <v>0</v>
      </c>
      <c r="D1" t="s">
        <v>1</v>
      </c>
      <c r="E1" s="2" t="s">
        <v>2</v>
      </c>
    </row>
    <row r="2" spans="1:8">
      <c r="A2" s="6" t="s">
        <v>5</v>
      </c>
      <c r="B2" s="6"/>
      <c r="C2" s="6" t="s">
        <v>6</v>
      </c>
      <c r="D2" s="6"/>
      <c r="G2" s="7" t="s">
        <v>9</v>
      </c>
      <c r="H2" s="7"/>
    </row>
    <row r="3" spans="1:8">
      <c r="A3" s="5">
        <v>46.470399999999998</v>
      </c>
      <c r="B3" s="5">
        <v>53.477420000000002</v>
      </c>
      <c r="C3">
        <v>47.220086612652928</v>
      </c>
      <c r="D3">
        <v>54.226683992208493</v>
      </c>
      <c r="E3" s="1">
        <f>(A3*0.6*$H$3 + B3*0.34*$H$3) + (A3*0.6*$H$4 + B3*0.34*$H$4)</f>
        <v>60357.014699956002</v>
      </c>
      <c r="G3" s="2" t="s">
        <v>7</v>
      </c>
      <c r="H3" s="2">
        <v>333.77</v>
      </c>
    </row>
    <row r="4" spans="1:8">
      <c r="A4" s="5">
        <v>24.385760000000001</v>
      </c>
      <c r="B4" s="5">
        <v>28.08783</v>
      </c>
      <c r="C4">
        <v>24.779059585507969</v>
      </c>
      <c r="D4">
        <v>28.48096923589657</v>
      </c>
      <c r="E4" s="1">
        <f t="shared" ref="E4:E42" si="0">(A4*0.6*$H$3 + B4*0.34*$H$3) + (A4*0.6*$H$4 + B4*0.34*$H$4)</f>
        <v>31684.055797913999</v>
      </c>
      <c r="G4" s="2" t="s">
        <v>8</v>
      </c>
      <c r="H4" s="2">
        <v>976.5</v>
      </c>
    </row>
    <row r="5" spans="1:8">
      <c r="A5" s="5">
        <v>15.26066</v>
      </c>
      <c r="B5" s="5">
        <v>17.616379999999999</v>
      </c>
      <c r="C5">
        <v>15.50765165614907</v>
      </c>
      <c r="D5">
        <v>17.86352691301315</v>
      </c>
      <c r="E5" s="1">
        <f t="shared" si="0"/>
        <v>19845.303822604001</v>
      </c>
    </row>
    <row r="6" spans="1:8">
      <c r="A6" s="5">
        <v>10.363300000000001</v>
      </c>
      <c r="B6" s="5">
        <v>12.01037</v>
      </c>
      <c r="C6">
        <v>10.53226714795583</v>
      </c>
      <c r="D6">
        <v>12.17979646252749</v>
      </c>
      <c r="E6" s="1">
        <f t="shared" si="0"/>
        <v>13497.754004565999</v>
      </c>
    </row>
    <row r="7" spans="1:8">
      <c r="A7" s="5">
        <v>7.6577169999999999</v>
      </c>
      <c r="B7" s="5">
        <v>8.9245850000000004</v>
      </c>
      <c r="C7">
        <v>7.7839761080189662</v>
      </c>
      <c r="D7">
        <v>9.051580456240373</v>
      </c>
      <c r="E7" s="1">
        <f t="shared" si="0"/>
        <v>9996.0355480569997</v>
      </c>
    </row>
    <row r="8" spans="1:8">
      <c r="A8" s="5">
        <v>6.1030879999999996</v>
      </c>
      <c r="B8" s="5">
        <v>7.1604210000000004</v>
      </c>
      <c r="C8">
        <v>6.2051275630870144</v>
      </c>
      <c r="D8">
        <v>7.2634521419054652</v>
      </c>
      <c r="E8" s="1">
        <f t="shared" si="0"/>
        <v>7987.9247083037999</v>
      </c>
    </row>
    <row r="9" spans="1:8">
      <c r="A9" s="5">
        <v>5.1597460000000002</v>
      </c>
      <c r="B9" s="5">
        <v>6.096686</v>
      </c>
      <c r="C9">
        <v>5.2473315178480444</v>
      </c>
      <c r="D9">
        <v>6.1854977100182351</v>
      </c>
      <c r="E9" s="1">
        <f t="shared" si="0"/>
        <v>6772.4198550268002</v>
      </c>
    </row>
    <row r="10" spans="1:8">
      <c r="A10" s="5">
        <v>4.5454090000000003</v>
      </c>
      <c r="B10" s="5">
        <v>5.4086730000000003</v>
      </c>
      <c r="C10">
        <v>4.6237521159820103</v>
      </c>
      <c r="D10">
        <v>5.4884547877412944</v>
      </c>
      <c r="E10" s="1">
        <f t="shared" si="0"/>
        <v>5982.9473006394001</v>
      </c>
    </row>
    <row r="11" spans="1:8">
      <c r="A11" s="5">
        <v>4.1115380000000004</v>
      </c>
      <c r="B11" s="5">
        <v>4.9256779999999996</v>
      </c>
      <c r="C11">
        <v>4.1834588234507448</v>
      </c>
      <c r="D11">
        <v>4.9992308903273681</v>
      </c>
      <c r="E11" s="1">
        <f t="shared" si="0"/>
        <v>5426.6840955964008</v>
      </c>
    </row>
    <row r="12" spans="1:8">
      <c r="A12" s="5">
        <v>3.7795640000000001</v>
      </c>
      <c r="B12" s="5">
        <v>4.5575359999999998</v>
      </c>
      <c r="C12">
        <v>3.84662230863943</v>
      </c>
      <c r="D12">
        <v>4.6264026356160599</v>
      </c>
      <c r="E12" s="1">
        <f t="shared" si="0"/>
        <v>5001.6945095727997</v>
      </c>
    </row>
    <row r="13" spans="1:8">
      <c r="A13" s="5">
        <v>3.5076779999999999</v>
      </c>
      <c r="B13" s="5">
        <v>4.2563719999999998</v>
      </c>
      <c r="C13">
        <v>3.5707657934000001</v>
      </c>
      <c r="D13">
        <v>4.3214288207571387</v>
      </c>
      <c r="E13" s="1">
        <f t="shared" si="0"/>
        <v>4653.7819755855999</v>
      </c>
    </row>
    <row r="14" spans="1:8">
      <c r="A14" s="5">
        <v>3.2734350000000001</v>
      </c>
      <c r="B14" s="5">
        <v>3.9965760000000001</v>
      </c>
      <c r="C14">
        <v>3.333091007905495</v>
      </c>
      <c r="D14">
        <v>4.0583449483533469</v>
      </c>
      <c r="E14" s="1">
        <f t="shared" si="0"/>
        <v>4353.8920425468004</v>
      </c>
    </row>
    <row r="15" spans="1:8">
      <c r="A15" s="5">
        <v>3.0646200000000001</v>
      </c>
      <c r="B15" s="5">
        <v>3.764284</v>
      </c>
      <c r="C15">
        <v>3.1211921629413131</v>
      </c>
      <c r="D15">
        <v>3.823098818291518</v>
      </c>
      <c r="E15" s="1">
        <f t="shared" si="0"/>
        <v>4086.2454433112002</v>
      </c>
    </row>
    <row r="16" spans="1:8">
      <c r="A16" s="5">
        <v>2.8744350000000001</v>
      </c>
      <c r="B16" s="5">
        <v>3.551847</v>
      </c>
      <c r="C16">
        <v>2.9281672723631171</v>
      </c>
      <c r="D16">
        <v>3.6079386711567829</v>
      </c>
      <c r="E16" s="1">
        <f t="shared" si="0"/>
        <v>3842.0902818245995</v>
      </c>
    </row>
    <row r="17" spans="1:5">
      <c r="A17" s="5">
        <v>2.6989610000000002</v>
      </c>
      <c r="B17" s="5">
        <v>3.354914</v>
      </c>
      <c r="C17">
        <v>2.750040910481085</v>
      </c>
      <c r="D17">
        <v>3.4084562134609611</v>
      </c>
      <c r="E17" s="1">
        <f t="shared" si="0"/>
        <v>3616.4072543872003</v>
      </c>
    </row>
    <row r="18" spans="1:5">
      <c r="A18" s="5">
        <v>2.5358230000000002</v>
      </c>
      <c r="B18" s="5">
        <v>3.1708919999999998</v>
      </c>
      <c r="C18">
        <v>2.5844038791825601</v>
      </c>
      <c r="D18">
        <v>3.2220268392555962</v>
      </c>
      <c r="E18" s="1">
        <f t="shared" si="0"/>
        <v>3406.1740660116002</v>
      </c>
    </row>
    <row r="19" spans="1:5">
      <c r="A19" s="5">
        <v>2.3834789999999999</v>
      </c>
      <c r="B19" s="5">
        <v>2.9981360000000001</v>
      </c>
      <c r="C19">
        <v>2.4296941871439279</v>
      </c>
      <c r="D19">
        <v>3.046985879802667</v>
      </c>
      <c r="E19" s="1">
        <f t="shared" si="0"/>
        <v>3209.4456208828001</v>
      </c>
    </row>
    <row r="20" spans="1:5">
      <c r="A20" s="5">
        <v>2.240847</v>
      </c>
      <c r="B20" s="5">
        <v>2.835518</v>
      </c>
      <c r="C20">
        <v>2.284816246294668</v>
      </c>
      <c r="D20">
        <v>2.8821928530898759</v>
      </c>
      <c r="E20" s="1">
        <f t="shared" si="0"/>
        <v>3024.8687769664002</v>
      </c>
    </row>
    <row r="21" spans="1:5">
      <c r="A21" s="5">
        <v>2.1071029999999999</v>
      </c>
      <c r="B21" s="5">
        <v>2.6821999999999999</v>
      </c>
      <c r="C21">
        <v>2.148938555571438</v>
      </c>
      <c r="D21">
        <v>2.7268003711345541</v>
      </c>
      <c r="E21" s="1">
        <f t="shared" si="0"/>
        <v>2851.4224146460001</v>
      </c>
    </row>
    <row r="22" spans="1:5">
      <c r="A22" s="5">
        <v>1.9815799999999999</v>
      </c>
      <c r="B22" s="5">
        <v>2.5375100000000002</v>
      </c>
      <c r="C22">
        <v>2.0213856495310458</v>
      </c>
      <c r="D22">
        <v>2.5801310689954891</v>
      </c>
      <c r="E22" s="1">
        <f t="shared" si="0"/>
        <v>2688.282793378</v>
      </c>
    </row>
    <row r="23" spans="1:5">
      <c r="A23" s="5">
        <v>1.863707</v>
      </c>
      <c r="B23" s="5">
        <v>2.400881</v>
      </c>
      <c r="C23">
        <v>1.901579884476253</v>
      </c>
      <c r="D23">
        <v>2.441611600048994</v>
      </c>
      <c r="E23" s="1">
        <f t="shared" si="0"/>
        <v>2534.7484208097999</v>
      </c>
    </row>
    <row r="24" spans="1:5">
      <c r="A24" s="5">
        <v>1.752977</v>
      </c>
      <c r="B24" s="5">
        <v>2.2718120000000002</v>
      </c>
      <c r="C24">
        <v>1.7890096173892831</v>
      </c>
      <c r="D24">
        <v>2.3107368192875271</v>
      </c>
      <c r="E24" s="1">
        <f t="shared" si="0"/>
        <v>2390.1975214156</v>
      </c>
    </row>
    <row r="25" spans="1:5">
      <c r="A25" s="5">
        <v>1.64893</v>
      </c>
      <c r="B25" s="5">
        <v>2.149851</v>
      </c>
      <c r="C25">
        <v>1.683211399970115</v>
      </c>
      <c r="D25">
        <v>2.187049970990036</v>
      </c>
      <c r="E25" s="1">
        <f t="shared" si="0"/>
        <v>2254.0670983818</v>
      </c>
    </row>
    <row r="26" spans="1:5">
      <c r="A26" s="5">
        <v>1.5511459999999999</v>
      </c>
      <c r="B26" s="5">
        <v>2.0345810000000002</v>
      </c>
      <c r="C26">
        <v>1.5837596487912859</v>
      </c>
      <c r="D26">
        <v>2.0701313920114468</v>
      </c>
      <c r="E26" s="1">
        <f t="shared" si="0"/>
        <v>2125.8411935878003</v>
      </c>
    </row>
    <row r="27" spans="1:5">
      <c r="A27" s="5">
        <v>1.459236</v>
      </c>
      <c r="B27" s="5">
        <v>1.9256180000000001</v>
      </c>
      <c r="C27">
        <v>1.490260333761408</v>
      </c>
      <c r="D27">
        <v>1.9595917735929289</v>
      </c>
      <c r="E27" s="1">
        <f t="shared" si="0"/>
        <v>2005.0429211644</v>
      </c>
    </row>
    <row r="28" spans="1:5">
      <c r="A28" s="5">
        <v>1.372835</v>
      </c>
      <c r="B28" s="5">
        <v>1.8226</v>
      </c>
      <c r="C28">
        <v>1.4023468536022581</v>
      </c>
      <c r="D28">
        <v>1.8550678881300231</v>
      </c>
      <c r="E28" s="1">
        <f t="shared" si="0"/>
        <v>1891.2240639500001</v>
      </c>
    </row>
    <row r="29" spans="1:5">
      <c r="A29" s="5">
        <v>1.2916049999999999</v>
      </c>
      <c r="B29" s="5">
        <v>1.7251920000000001</v>
      </c>
      <c r="C29">
        <v>1.319677126014549</v>
      </c>
      <c r="D29">
        <v>1.756219671001219</v>
      </c>
      <c r="E29" s="1">
        <f t="shared" si="0"/>
        <v>1783.9696594356001</v>
      </c>
    </row>
    <row r="30" spans="1:5">
      <c r="A30" s="5">
        <v>1.215231</v>
      </c>
      <c r="B30" s="5">
        <v>1.6330769999999999</v>
      </c>
      <c r="C30">
        <v>1.2419313740904601</v>
      </c>
      <c r="D30">
        <v>1.6627280670635161</v>
      </c>
      <c r="E30" s="1">
        <f t="shared" si="0"/>
        <v>1682.8908456906001</v>
      </c>
    </row>
    <row r="31" spans="1:5">
      <c r="A31" s="5">
        <v>1.143416</v>
      </c>
      <c r="B31" s="5">
        <v>1.5459590000000001</v>
      </c>
      <c r="C31">
        <v>1.168810330627077</v>
      </c>
      <c r="D31">
        <v>1.5742933259976339</v>
      </c>
      <c r="E31" s="1">
        <f t="shared" si="0"/>
        <v>1587.6222670282</v>
      </c>
    </row>
    <row r="32" spans="1:5">
      <c r="A32" s="5">
        <v>1.0758829999999999</v>
      </c>
      <c r="B32" s="5">
        <v>1.463557</v>
      </c>
      <c r="C32">
        <v>1.1000337091571499</v>
      </c>
      <c r="D32">
        <v>1.490633575990699</v>
      </c>
      <c r="E32" s="1">
        <f t="shared" si="0"/>
        <v>1497.8209733785998</v>
      </c>
    </row>
    <row r="33" spans="1:5">
      <c r="A33" s="5">
        <v>1.012372</v>
      </c>
      <c r="B33" s="5">
        <v>1.38561</v>
      </c>
      <c r="C33">
        <v>1.03533885806614</v>
      </c>
      <c r="D33">
        <v>1.411483582298672</v>
      </c>
      <c r="E33" s="1">
        <f t="shared" si="0"/>
        <v>1413.1662892619997</v>
      </c>
    </row>
    <row r="34" spans="1:5">
      <c r="A34" s="5">
        <v>0.95264000000000004</v>
      </c>
      <c r="B34" s="5">
        <v>1.3118700000000001</v>
      </c>
      <c r="C34">
        <v>0.97447955017993115</v>
      </c>
      <c r="D34">
        <v>1.3365936382240211</v>
      </c>
      <c r="E34" s="1">
        <f t="shared" si="0"/>
        <v>1333.3566953459999</v>
      </c>
    </row>
    <row r="35" spans="1:5">
      <c r="A35" s="5">
        <v>0.89645900000000001</v>
      </c>
      <c r="B35" s="5">
        <v>1.2421040000000001</v>
      </c>
      <c r="C35">
        <v>0.91722487953434495</v>
      </c>
      <c r="D35">
        <v>1.2657285579724331</v>
      </c>
      <c r="E35" s="1">
        <f t="shared" si="0"/>
        <v>1258.1091471052</v>
      </c>
    </row>
    <row r="36" spans="1:5">
      <c r="A36" s="5">
        <v>0.84361399999999998</v>
      </c>
      <c r="B36" s="5">
        <v>1.176094</v>
      </c>
      <c r="C36">
        <v>0.86335824755649071</v>
      </c>
      <c r="D36">
        <v>1.1986667527058541</v>
      </c>
      <c r="E36" s="1">
        <f t="shared" si="0"/>
        <v>1187.1575024971999</v>
      </c>
    </row>
    <row r="37" spans="1:5">
      <c r="A37" s="5">
        <v>0.79390499999999997</v>
      </c>
      <c r="B37" s="5">
        <v>1.113632</v>
      </c>
      <c r="C37">
        <v>0.81267642666704865</v>
      </c>
      <c r="D37">
        <v>1.135199377572446</v>
      </c>
      <c r="E37" s="1">
        <f t="shared" si="0"/>
        <v>1120.2518668276</v>
      </c>
    </row>
    <row r="38" spans="1:5">
      <c r="A38" s="5">
        <v>0.747143</v>
      </c>
      <c r="B38" s="5">
        <v>1.0545230000000001</v>
      </c>
      <c r="C38">
        <v>0.7649886926283358</v>
      </c>
      <c r="D38">
        <v>1.075129541154316</v>
      </c>
      <c r="E38" s="1">
        <f t="shared" si="0"/>
        <v>1057.1567845774</v>
      </c>
    </row>
    <row r="39" spans="1:5">
      <c r="A39" s="5">
        <v>0.703152</v>
      </c>
      <c r="B39" s="5">
        <v>0.998583</v>
      </c>
      <c r="C39">
        <v>0.72011601890042221</v>
      </c>
      <c r="D39">
        <v>1.018271570868047</v>
      </c>
      <c r="E39" s="1">
        <f t="shared" si="0"/>
        <v>997.65192074339996</v>
      </c>
    </row>
    <row r="40" spans="1:5">
      <c r="A40" s="5">
        <v>0.66176500000000005</v>
      </c>
      <c r="B40" s="5">
        <v>0.94564099999999995</v>
      </c>
      <c r="C40">
        <v>0.67789032748534817</v>
      </c>
      <c r="D40">
        <v>0.96445032913927042</v>
      </c>
      <c r="E40" s="1">
        <f t="shared" si="0"/>
        <v>941.52980717380001</v>
      </c>
    </row>
    <row r="41" spans="1:5">
      <c r="A41" s="5">
        <v>0.62282700000000002</v>
      </c>
      <c r="B41" s="5">
        <v>0.89553099999999997</v>
      </c>
      <c r="C41">
        <v>0.63815379156172958</v>
      </c>
      <c r="D41">
        <v>0.91350057601830292</v>
      </c>
      <c r="E41" s="1">
        <f t="shared" si="0"/>
        <v>888.59463711980004</v>
      </c>
    </row>
    <row r="42" spans="1:5">
      <c r="A42" s="5">
        <v>0.58619100000000002</v>
      </c>
      <c r="B42" s="5">
        <v>0.84809900000000005</v>
      </c>
      <c r="C42">
        <v>0.60075818577385576</v>
      </c>
      <c r="D42">
        <v>0.86526637445876275</v>
      </c>
      <c r="E42" s="1">
        <f t="shared" si="0"/>
        <v>838.6622390302</v>
      </c>
    </row>
  </sheetData>
  <mergeCells count="3">
    <mergeCell ref="A2:B2"/>
    <mergeCell ref="C2:D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G42"/>
  <sheetViews>
    <sheetView zoomScale="252" workbookViewId="0">
      <selection activeCell="B6" sqref="B6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t="s">
        <v>10</v>
      </c>
      <c r="B1" t="s">
        <v>11</v>
      </c>
      <c r="C1" s="2" t="s">
        <v>2</v>
      </c>
    </row>
    <row r="2" spans="1:7">
      <c r="G2" s="1" t="s">
        <v>9</v>
      </c>
    </row>
    <row r="3" spans="1:7">
      <c r="A3">
        <v>36.3875035436673</v>
      </c>
      <c r="B3">
        <v>26.762737099718681</v>
      </c>
      <c r="C3" s="1">
        <f>A3*0.57*$G$3 + B3*0.3*$G$3</f>
        <v>441845.02418472001</v>
      </c>
      <c r="G3" s="3">
        <v>15358</v>
      </c>
    </row>
    <row r="4" spans="1:7">
      <c r="A4">
        <v>19.068667698604539</v>
      </c>
      <c r="B4">
        <v>14.008246040620829</v>
      </c>
      <c r="C4" s="1">
        <f t="shared" ref="C4:C42" si="0">A4*0.57*$G$3 + B4*0.3*$G$3</f>
        <v>231469.85396120243</v>
      </c>
    </row>
    <row r="5" spans="1:7">
      <c r="A5">
        <v>11.89391140140968</v>
      </c>
      <c r="B5">
        <v>8.7118291153337282</v>
      </c>
      <c r="C5" s="1">
        <f t="shared" si="0"/>
        <v>144258.89550861303</v>
      </c>
    </row>
    <row r="6" spans="1:7">
      <c r="A6">
        <v>8.0297994392610352</v>
      </c>
      <c r="B6">
        <v>5.8506941964034276</v>
      </c>
      <c r="C6" s="1">
        <f t="shared" si="0"/>
        <v>97249.834519766591</v>
      </c>
    </row>
    <row r="7" spans="1:7">
      <c r="A7">
        <v>5.8843580348675601</v>
      </c>
      <c r="B7">
        <v>4.2554936529769947</v>
      </c>
      <c r="C7" s="1">
        <f t="shared" si="0"/>
        <v>71118.784755438915</v>
      </c>
    </row>
    <row r="8" spans="1:7">
      <c r="A8">
        <v>4.6433772775092166</v>
      </c>
      <c r="B8">
        <v>3.3278808875219901</v>
      </c>
      <c r="C8" s="1">
        <f t="shared" si="0"/>
        <v>55981.281691121148</v>
      </c>
    </row>
    <row r="9" spans="1:7">
      <c r="A9">
        <v>3.8843641880636381</v>
      </c>
      <c r="B9">
        <v>2.7571334922254209</v>
      </c>
      <c r="C9" s="1">
        <f t="shared" si="0"/>
        <v>46707.174016239776</v>
      </c>
    </row>
    <row r="10" spans="1:7">
      <c r="A10">
        <v>3.3860856411064</v>
      </c>
      <c r="B10">
        <v>2.380363381338308</v>
      </c>
      <c r="C10" s="1">
        <f t="shared" si="0"/>
        <v>40609.283110562013</v>
      </c>
    </row>
    <row r="11" spans="1:7">
      <c r="A11">
        <v>3.0319420110133901</v>
      </c>
      <c r="B11">
        <v>2.1115822163414562</v>
      </c>
      <c r="C11" s="1">
        <f t="shared" si="0"/>
        <v>36270.706184503499</v>
      </c>
    </row>
    <row r="12" spans="1:7">
      <c r="A12">
        <v>2.760112889734557</v>
      </c>
      <c r="B12">
        <v>1.905089267928735</v>
      </c>
      <c r="C12" s="1">
        <f t="shared" si="0"/>
        <v>32939.702136564549</v>
      </c>
    </row>
    <row r="13" spans="1:7">
      <c r="A13">
        <v>2.537581206453964</v>
      </c>
      <c r="B13">
        <v>1.7363861301347849</v>
      </c>
      <c r="C13" s="1">
        <f t="shared" si="0"/>
        <v>30214.363592153393</v>
      </c>
    </row>
    <row r="14" spans="1:7">
      <c r="A14">
        <v>2.346521966988353</v>
      </c>
      <c r="B14">
        <v>1.5921706449096149</v>
      </c>
      <c r="C14" s="1">
        <f t="shared" si="0"/>
        <v>27877.36111969062</v>
      </c>
    </row>
    <row r="15" spans="1:7">
      <c r="A15">
        <v>2.177146238647798</v>
      </c>
      <c r="B15">
        <v>1.465073045596673</v>
      </c>
      <c r="C15" s="1">
        <f t="shared" si="0"/>
        <v>25809.046352179255</v>
      </c>
    </row>
    <row r="16" spans="1:7">
      <c r="A16">
        <v>2.023931077048621</v>
      </c>
      <c r="B16">
        <v>1.3508807691005651</v>
      </c>
      <c r="C16" s="1">
        <f t="shared" si="0"/>
        <v>23941.662139902193</v>
      </c>
    </row>
    <row r="17" spans="1:3">
      <c r="A17">
        <v>1.883630267823037</v>
      </c>
      <c r="B17">
        <v>1.247072859458314</v>
      </c>
      <c r="C17" s="1">
        <f t="shared" si="0"/>
        <v>22235.175875007171</v>
      </c>
    </row>
    <row r="18" spans="1:3">
      <c r="A18">
        <v>1.754223183421407</v>
      </c>
      <c r="B18">
        <v>1.1520446333541181</v>
      </c>
      <c r="C18" s="1">
        <f t="shared" si="0"/>
        <v>20664.505444777766</v>
      </c>
    </row>
    <row r="19" spans="1:3">
      <c r="A19">
        <v>1.634358342797616</v>
      </c>
      <c r="B19">
        <v>1.0646965640473289</v>
      </c>
      <c r="C19" s="1">
        <f t="shared" si="0"/>
        <v>19212.753943542561</v>
      </c>
    </row>
    <row r="20" spans="1:3">
      <c r="A20">
        <v>1.5230580529971389</v>
      </c>
      <c r="B20">
        <v>0.98421551402933005</v>
      </c>
      <c r="C20" s="1">
        <f t="shared" si="0"/>
        <v>17867.616138758865</v>
      </c>
    </row>
    <row r="21" spans="1:3">
      <c r="A21">
        <v>1.4195609450136</v>
      </c>
      <c r="B21">
        <v>0.90995764391862133</v>
      </c>
      <c r="C21" s="1">
        <f t="shared" si="0"/>
        <v>16619.460534896411</v>
      </c>
    </row>
    <row r="22" spans="1:3">
      <c r="A22">
        <v>1.323237411663039</v>
      </c>
      <c r="B22">
        <v>0.84138513492229094</v>
      </c>
      <c r="C22" s="1">
        <f t="shared" si="0"/>
        <v>15460.297566583904</v>
      </c>
    </row>
    <row r="23" spans="1:3">
      <c r="A23">
        <v>1.23354364309777</v>
      </c>
      <c r="B23">
        <v>0.77803144773856536</v>
      </c>
      <c r="C23" s="1">
        <f t="shared" si="0"/>
        <v>14383.21715660713</v>
      </c>
    </row>
    <row r="24" spans="1:3">
      <c r="A24">
        <v>1.1499961451016441</v>
      </c>
      <c r="B24">
        <v>0.7194817615399719</v>
      </c>
      <c r="C24" s="1">
        <f t="shared" si="0"/>
        <v>13382.075522107763</v>
      </c>
    </row>
    <row r="25" spans="1:3">
      <c r="A25">
        <v>1.072157168926988</v>
      </c>
      <c r="B25">
        <v>0.66536153052784164</v>
      </c>
      <c r="C25" s="1">
        <f t="shared" si="0"/>
        <v>12451.314901970965</v>
      </c>
    </row>
    <row r="26" spans="1:3">
      <c r="A26">
        <v>0.99962599136260621</v>
      </c>
      <c r="B26">
        <v>0.61532941950676923</v>
      </c>
      <c r="C26" s="1">
        <f t="shared" si="0"/>
        <v>11585.854673383225</v>
      </c>
    </row>
    <row r="27" spans="1:3">
      <c r="A27">
        <v>0.93203336506799417</v>
      </c>
      <c r="B27">
        <v>0.56907263596316204</v>
      </c>
      <c r="C27" s="1">
        <f t="shared" si="0"/>
        <v>10781.021262743798</v>
      </c>
    </row>
    <row r="28" spans="1:3">
      <c r="A28">
        <v>0.86903771709932676</v>
      </c>
      <c r="B28">
        <v>0.52630360426153311</v>
      </c>
      <c r="C28" s="1">
        <f t="shared" si="0"/>
        <v>10032.499544025119</v>
      </c>
    </row>
    <row r="29" spans="1:3">
      <c r="A29">
        <v>0.81032233834153544</v>
      </c>
      <c r="B29">
        <v>0.48675741843516579</v>
      </c>
      <c r="C29" s="1">
        <f t="shared" si="0"/>
        <v>9336.2964988802833</v>
      </c>
    </row>
    <row r="30" spans="1:3">
      <c r="A30">
        <v>0.75559315816859396</v>
      </c>
      <c r="B30">
        <v>0.45018976993530663</v>
      </c>
      <c r="C30" s="1">
        <f t="shared" si="0"/>
        <v>8688.7121881972926</v>
      </c>
    </row>
    <row r="31" spans="1:3">
      <c r="A31">
        <v>0.70457688488469239</v>
      </c>
      <c r="B31">
        <v>0.41637518452302419</v>
      </c>
      <c r="C31" s="1">
        <f t="shared" si="0"/>
        <v>8086.3153500650715</v>
      </c>
    </row>
    <row r="32" spans="1:3">
      <c r="A32">
        <v>0.65701939131154086</v>
      </c>
      <c r="B32">
        <v>0.38510547580053373</v>
      </c>
      <c r="C32" s="1">
        <f t="shared" si="0"/>
        <v>7525.9221419080859</v>
      </c>
    </row>
    <row r="33" spans="1:3">
      <c r="A33">
        <v>0.61268427753662047</v>
      </c>
      <c r="B33">
        <v>0.35618836203803989</v>
      </c>
      <c r="C33" s="1">
        <f t="shared" si="0"/>
        <v>7004.577185866292</v>
      </c>
    </row>
    <row r="34" spans="1:3">
      <c r="A34">
        <v>0.57135157101184098</v>
      </c>
      <c r="B34">
        <v>0.32944621406007002</v>
      </c>
      <c r="C34" s="1">
        <f t="shared" si="0"/>
        <v>6519.5364203922818</v>
      </c>
    </row>
    <row r="35" spans="1:3">
      <c r="A35">
        <v>0.5328165394394091</v>
      </c>
      <c r="B35">
        <v>0.30471491345979967</v>
      </c>
      <c r="C35" s="1">
        <f t="shared" si="0"/>
        <v>6068.2514475196331</v>
      </c>
    </row>
    <row r="36" spans="1:3">
      <c r="A36">
        <v>0.4968886002591783</v>
      </c>
      <c r="B36">
        <v>0.28184280681329221</v>
      </c>
      <c r="C36" s="1">
        <f t="shared" si="0"/>
        <v>5648.3551680964247</v>
      </c>
    </row>
    <row r="37" spans="1:3">
      <c r="A37">
        <v>0.46339031523977309</v>
      </c>
      <c r="B37">
        <v>0.26068974525142607</v>
      </c>
      <c r="C37" s="1">
        <f t="shared" si="0"/>
        <v>5257.6485552993081</v>
      </c>
    </row>
    <row r="38" spans="1:3">
      <c r="A38">
        <v>0.43215646143054198</v>
      </c>
      <c r="B38">
        <v>0.24112620095352591</v>
      </c>
      <c r="C38" s="1">
        <f t="shared" si="0"/>
        <v>4894.0884510239248</v>
      </c>
    </row>
    <row r="39" spans="1:3">
      <c r="A39">
        <v>0.40303317141089212</v>
      </c>
      <c r="B39">
        <v>0.22303245354369489</v>
      </c>
      <c r="C39" s="1">
        <f t="shared" si="0"/>
        <v>4555.7762909784542</v>
      </c>
    </row>
    <row r="40" spans="1:3">
      <c r="A40">
        <v>0.37587713685799429</v>
      </c>
      <c r="B40">
        <v>0.20629784032809559</v>
      </c>
      <c r="C40" s="1">
        <f t="shared" si="0"/>
        <v>4240.9476782107604</v>
      </c>
    </row>
    <row r="41" spans="1:3">
      <c r="A41">
        <v>0.3505548702448304</v>
      </c>
      <c r="B41">
        <v>0.1908200650213748</v>
      </c>
      <c r="C41" s="1">
        <f t="shared" si="0"/>
        <v>3947.9627349949419</v>
      </c>
    </row>
    <row r="42" spans="1:3">
      <c r="A42">
        <v>0.32694202002328632</v>
      </c>
      <c r="B42">
        <v>0.17650456016833499</v>
      </c>
      <c r="C42" s="1">
        <f t="shared" si="0"/>
        <v>3675.2971703246367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F42"/>
  <sheetViews>
    <sheetView zoomScale="227" workbookViewId="0">
      <selection sqref="A1:A1048576"/>
    </sheetView>
  </sheetViews>
  <sheetFormatPr baseColWidth="10" defaultRowHeight="16"/>
  <cols>
    <col min="1" max="1" width="8.83203125"/>
    <col min="2" max="2" width="11.5" style="1" bestFit="1" customWidth="1"/>
    <col min="3" max="5" width="10.83203125" style="1"/>
    <col min="6" max="6" width="11" style="1" bestFit="1" customWidth="1"/>
    <col min="7" max="16384" width="10.83203125" style="1"/>
  </cols>
  <sheetData>
    <row r="1" spans="1:6">
      <c r="A1" t="s">
        <v>10</v>
      </c>
      <c r="B1" s="2" t="s">
        <v>2</v>
      </c>
    </row>
    <row r="2" spans="1:6">
      <c r="F2" s="1" t="s">
        <v>9</v>
      </c>
    </row>
    <row r="3" spans="1:6">
      <c r="A3">
        <v>34.400528382781509</v>
      </c>
      <c r="B3" s="1">
        <f>A3*0.8645*$F$3</f>
        <v>287816.52718375967</v>
      </c>
      <c r="F3" s="3">
        <v>9678</v>
      </c>
    </row>
    <row r="4" spans="1:6">
      <c r="A4">
        <v>18.02293083448231</v>
      </c>
      <c r="B4" s="1">
        <f t="shared" ref="B4:B42" si="0">A4*0.8645*$F$3</f>
        <v>150791.21183063556</v>
      </c>
    </row>
    <row r="5" spans="1:6">
      <c r="A5">
        <v>11.23477422464107</v>
      </c>
      <c r="B5" s="1">
        <f t="shared" si="0"/>
        <v>93997.210305882953</v>
      </c>
    </row>
    <row r="6" spans="1:6">
      <c r="A6">
        <v>7.5765567215025804</v>
      </c>
      <c r="B6" s="1">
        <f t="shared" si="0"/>
        <v>63390.254339381856</v>
      </c>
    </row>
    <row r="7" spans="1:6">
      <c r="A7">
        <v>5.5436354589102548</v>
      </c>
      <c r="B7" s="1">
        <f t="shared" si="0"/>
        <v>46381.552283217759</v>
      </c>
    </row>
    <row r="8" spans="1:6">
      <c r="A8">
        <v>4.3663933135922406</v>
      </c>
      <c r="B8" s="1">
        <f t="shared" si="0"/>
        <v>36532.001655693559</v>
      </c>
    </row>
    <row r="9" spans="1:6">
      <c r="A9">
        <v>3.645415483456266</v>
      </c>
      <c r="B9" s="1">
        <f t="shared" si="0"/>
        <v>30499.846191765184</v>
      </c>
    </row>
    <row r="10" spans="1:6">
      <c r="A10">
        <v>3.1715072768284589</v>
      </c>
      <c r="B10" s="1">
        <f t="shared" si="0"/>
        <v>26534.831099038569</v>
      </c>
    </row>
    <row r="11" spans="1:6">
      <c r="A11">
        <v>2.8343786680002978</v>
      </c>
      <c r="B11" s="1">
        <f t="shared" si="0"/>
        <v>23714.200429430002</v>
      </c>
    </row>
    <row r="12" spans="1:6">
      <c r="A12">
        <v>2.575526718620031</v>
      </c>
      <c r="B12" s="1">
        <f t="shared" si="0"/>
        <v>21548.481685334631</v>
      </c>
    </row>
    <row r="13" spans="1:6">
      <c r="A13">
        <v>2.3636832879427678</v>
      </c>
      <c r="B13" s="1">
        <f t="shared" si="0"/>
        <v>19776.065871083887</v>
      </c>
    </row>
    <row r="14" spans="1:6">
      <c r="A14">
        <v>2.1819483186452171</v>
      </c>
      <c r="B14" s="1">
        <f t="shared" si="0"/>
        <v>18255.556443174952</v>
      </c>
    </row>
    <row r="15" spans="1:6">
      <c r="A15">
        <v>2.0210244280247451</v>
      </c>
      <c r="B15" s="1">
        <f t="shared" si="0"/>
        <v>16909.165631269101</v>
      </c>
    </row>
    <row r="16" spans="1:6">
      <c r="A16">
        <v>1.875652117498926</v>
      </c>
      <c r="B16" s="1">
        <f t="shared" si="0"/>
        <v>15692.889151482157</v>
      </c>
    </row>
    <row r="17" spans="1:2">
      <c r="A17">
        <v>1.742728508014423</v>
      </c>
      <c r="B17" s="1">
        <f t="shared" si="0"/>
        <v>14580.766359737221</v>
      </c>
    </row>
    <row r="18" spans="1:2">
      <c r="A18">
        <v>1.620313039471607</v>
      </c>
      <c r="B18" s="1">
        <f t="shared" si="0"/>
        <v>13556.561305747371</v>
      </c>
    </row>
    <row r="19" spans="1:2">
      <c r="A19">
        <v>1.5071009555071699</v>
      </c>
      <c r="B19" s="1">
        <f t="shared" si="0"/>
        <v>12609.357574475909</v>
      </c>
    </row>
    <row r="20" spans="1:2">
      <c r="A20">
        <v>1.40214369765323</v>
      </c>
      <c r="B20" s="1">
        <f t="shared" si="0"/>
        <v>11731.218927240141</v>
      </c>
    </row>
    <row r="21" spans="1:2">
      <c r="A21">
        <v>1.3046997294535649</v>
      </c>
      <c r="B21" s="1">
        <f t="shared" si="0"/>
        <v>10915.94120213781</v>
      </c>
    </row>
    <row r="22" spans="1:2">
      <c r="A22">
        <v>1.214154330875137</v>
      </c>
      <c r="B22" s="1">
        <f t="shared" si="0"/>
        <v>10158.381263484178</v>
      </c>
    </row>
    <row r="23" spans="1:2">
      <c r="A23">
        <v>1.1299759195356149</v>
      </c>
      <c r="B23" s="1">
        <f t="shared" si="0"/>
        <v>9454.0915576401821</v>
      </c>
    </row>
    <row r="24" spans="1:2">
      <c r="A24">
        <v>1.051691764397011</v>
      </c>
      <c r="B24" s="1">
        <f t="shared" si="0"/>
        <v>8799.116918448728</v>
      </c>
    </row>
    <row r="25" spans="1:2">
      <c r="A25">
        <v>0.97887403737784473</v>
      </c>
      <c r="B25" s="1">
        <f t="shared" si="0"/>
        <v>8189.877866220635</v>
      </c>
    </row>
    <row r="26" spans="1:2">
      <c r="A26">
        <v>0.91113141386210827</v>
      </c>
      <c r="B26" s="1">
        <f t="shared" si="0"/>
        <v>7623.1003322925453</v>
      </c>
    </row>
    <row r="27" spans="1:2">
      <c r="A27">
        <v>0.84810368561347127</v>
      </c>
      <c r="B27" s="1">
        <f t="shared" si="0"/>
        <v>7095.7705872679226</v>
      </c>
    </row>
    <row r="28" spans="1:2">
      <c r="A28">
        <v>0.78945803959364014</v>
      </c>
      <c r="B28" s="1">
        <f t="shared" si="0"/>
        <v>6605.104107263378</v>
      </c>
    </row>
    <row r="29" spans="1:2">
      <c r="A29">
        <v>0.73488628517808274</v>
      </c>
      <c r="B29" s="1">
        <f t="shared" si="0"/>
        <v>6148.5223750457881</v>
      </c>
    </row>
    <row r="30" spans="1:2">
      <c r="A30">
        <v>0.68410264499615414</v>
      </c>
      <c r="B30" s="1">
        <f t="shared" si="0"/>
        <v>5723.6343968068186</v>
      </c>
    </row>
    <row r="31" spans="1:2">
      <c r="A31">
        <v>0.63684190090410198</v>
      </c>
      <c r="B31" s="1">
        <f t="shared" si="0"/>
        <v>5328.2211902031877</v>
      </c>
    </row>
    <row r="32" spans="1:2">
      <c r="A32">
        <v>0.59285778017758639</v>
      </c>
      <c r="B32" s="1">
        <f t="shared" si="0"/>
        <v>4960.2222822249805</v>
      </c>
    </row>
    <row r="33" spans="1:2">
      <c r="A33">
        <v>0.55192151688140234</v>
      </c>
      <c r="B33" s="1">
        <f t="shared" si="0"/>
        <v>4617.7236727069649</v>
      </c>
    </row>
    <row r="34" spans="1:2">
      <c r="A34">
        <v>0.51382055011247019</v>
      </c>
      <c r="B34" s="1">
        <f t="shared" si="0"/>
        <v>4298.9469430080471</v>
      </c>
    </row>
    <row r="35" spans="1:2">
      <c r="A35">
        <v>0.47835733528780611</v>
      </c>
      <c r="B35" s="1">
        <f t="shared" si="0"/>
        <v>4002.2393104963526</v>
      </c>
    </row>
    <row r="36" spans="1:2">
      <c r="A36">
        <v>0.44534825262679101</v>
      </c>
      <c r="B36" s="1">
        <f t="shared" si="0"/>
        <v>3726.0644962231413</v>
      </c>
    </row>
    <row r="37" spans="1:2">
      <c r="A37">
        <v>0.41462260145951291</v>
      </c>
      <c r="B37" s="1">
        <f t="shared" si="0"/>
        <v>3468.9943106718065</v>
      </c>
    </row>
    <row r="38" spans="1:2">
      <c r="A38">
        <v>0.38602167165043971</v>
      </c>
      <c r="B38" s="1">
        <f t="shared" si="0"/>
        <v>3229.7008847023899</v>
      </c>
    </row>
    <row r="39" spans="1:2">
      <c r="A39">
        <v>0.35939788503072623</v>
      </c>
      <c r="B39" s="1">
        <f t="shared" si="0"/>
        <v>3006.9494862325105</v>
      </c>
    </row>
    <row r="40" spans="1:2">
      <c r="A40">
        <v>0.33461400082231779</v>
      </c>
      <c r="B40" s="1">
        <f t="shared" si="0"/>
        <v>2799.5918723140294</v>
      </c>
    </row>
    <row r="41" spans="1:2">
      <c r="A41">
        <v>0.31154237978937732</v>
      </c>
      <c r="B41" s="1">
        <f t="shared" si="0"/>
        <v>2606.5601325595776</v>
      </c>
    </row>
    <row r="42" spans="1:2">
      <c r="A42">
        <v>0.29006430241437431</v>
      </c>
      <c r="B42" s="1">
        <f t="shared" si="0"/>
        <v>2426.8609845734791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Additional_Coop_Projections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2026-03-24T10:49:24Z</dcterms:modified>
</cp:coreProperties>
</file>