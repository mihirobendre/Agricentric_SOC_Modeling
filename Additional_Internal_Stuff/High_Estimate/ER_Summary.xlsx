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"/>
    </mc:Choice>
  </mc:AlternateContent>
  <xr:revisionPtr revIDLastSave="0" documentId="13_ncr:1_{56252F77-229B-D644-9CEA-602AEFDC50A5}" xr6:coauthVersionLast="47" xr6:coauthVersionMax="47" xr10:uidLastSave="{00000000-0000-0000-0000-000000000000}"/>
  <bookViews>
    <workbookView xWindow="0" yWindow="720" windowWidth="29400" windowHeight="18400" xr2:uid="{72AD1D35-862B-EB40-AF7A-21135E5EFD45}"/>
  </bookViews>
  <sheets>
    <sheet name="Summary" sheetId="6" r:id="rId1"/>
    <sheet name="Eor" sheetId="1" r:id="rId2"/>
    <sheet name="Lanyuak" sheetId="2" r:id="rId3"/>
    <sheet name="Mumberes" sheetId="3" r:id="rId4"/>
    <sheet name="Kabianga" sheetId="4" r:id="rId5"/>
    <sheet name="Kipsigis" sheetId="5" r:id="rId6"/>
  </sheets>
  <definedNames>
    <definedName name="_xlchart.v1.0" hidden="1">Summary!$A$5</definedName>
    <definedName name="_xlchart.v1.1" hidden="1">Summary!$A$6:$A$45</definedName>
    <definedName name="_xlchart.v1.2" hidden="1">Summary!$H$5</definedName>
    <definedName name="_xlchart.v1.3" hidden="1">Summary!$H$6:$H$45</definedName>
    <definedName name="_xlchart.v1.4" hidden="1">Summary!$A$5</definedName>
    <definedName name="_xlchart.v1.5" hidden="1">Summary!$A$6:$A$45</definedName>
    <definedName name="_xlchart.v1.6" hidden="1">Summary!$H$5</definedName>
    <definedName name="_xlchart.v1.7" hidden="1">Summary!$H$6:$H$45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C6" i="6"/>
  <c r="E8" i="6"/>
  <c r="E7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F8" i="6"/>
  <c r="F7" i="6"/>
  <c r="E9" i="6"/>
  <c r="F9" i="6"/>
  <c r="E10" i="6"/>
  <c r="F10" i="6"/>
  <c r="E11" i="6"/>
  <c r="F11" i="6"/>
  <c r="E12" i="6"/>
  <c r="F12" i="6"/>
  <c r="E13" i="6"/>
  <c r="F13" i="6"/>
  <c r="E14" i="6"/>
  <c r="F14" i="6"/>
  <c r="E15" i="6"/>
  <c r="F15" i="6"/>
  <c r="E16" i="6"/>
  <c r="F16" i="6"/>
  <c r="E17" i="6"/>
  <c r="F17" i="6"/>
  <c r="E18" i="6"/>
  <c r="F18" i="6"/>
  <c r="E19" i="6"/>
  <c r="F19" i="6"/>
  <c r="E20" i="6"/>
  <c r="F20" i="6"/>
  <c r="E21" i="6"/>
  <c r="F21" i="6"/>
  <c r="E22" i="6"/>
  <c r="F22" i="6"/>
  <c r="E23" i="6"/>
  <c r="F23" i="6"/>
  <c r="E24" i="6"/>
  <c r="F24" i="6"/>
  <c r="E25" i="6"/>
  <c r="F25" i="6"/>
  <c r="E26" i="6"/>
  <c r="F26" i="6"/>
  <c r="E27" i="6"/>
  <c r="F27" i="6"/>
  <c r="E28" i="6"/>
  <c r="F28" i="6"/>
  <c r="E29" i="6"/>
  <c r="F29" i="6"/>
  <c r="E30" i="6"/>
  <c r="F30" i="6"/>
  <c r="E31" i="6"/>
  <c r="F31" i="6"/>
  <c r="E32" i="6"/>
  <c r="F32" i="6"/>
  <c r="E33" i="6"/>
  <c r="F33" i="6"/>
  <c r="E34" i="6"/>
  <c r="F34" i="6"/>
  <c r="E35" i="6"/>
  <c r="F35" i="6"/>
  <c r="E36" i="6"/>
  <c r="F36" i="6"/>
  <c r="E37" i="6"/>
  <c r="F37" i="6"/>
  <c r="E38" i="6"/>
  <c r="F38" i="6"/>
  <c r="E39" i="6"/>
  <c r="F39" i="6"/>
  <c r="E40" i="6"/>
  <c r="F40" i="6"/>
  <c r="E41" i="6"/>
  <c r="F41" i="6"/>
  <c r="E42" i="6"/>
  <c r="F42" i="6"/>
  <c r="E43" i="6"/>
  <c r="F43" i="6"/>
  <c r="E44" i="6"/>
  <c r="F44" i="6"/>
  <c r="E45" i="6"/>
  <c r="F45" i="6"/>
  <c r="F6" i="6"/>
  <c r="E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3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3" i="4"/>
  <c r="E3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3" i="3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3" i="1"/>
  <c r="H6" i="6" l="1"/>
  <c r="H47" i="6" s="1"/>
  <c r="H48" i="6" s="1"/>
</calcChain>
</file>

<file path=xl/sharedStrings.xml><?xml version="1.0" encoding="utf-8"?>
<sst xmlns="http://schemas.openxmlformats.org/spreadsheetml/2006/main" count="37" uniqueCount="22">
  <si>
    <t>Maize</t>
  </si>
  <si>
    <t>Potato</t>
  </si>
  <si>
    <t>Aggregate (tCO2e/yr)</t>
  </si>
  <si>
    <t>Wheat</t>
  </si>
  <si>
    <t>Barley</t>
  </si>
  <si>
    <t>Nth Soil type</t>
  </si>
  <si>
    <t>Ntu Soil type</t>
  </si>
  <si>
    <t>Nth</t>
  </si>
  <si>
    <t>Ntu</t>
  </si>
  <si>
    <t>Area (ha)</t>
  </si>
  <si>
    <t>Tea</t>
  </si>
  <si>
    <t>Napier</t>
  </si>
  <si>
    <t>Year</t>
  </si>
  <si>
    <t>Eor</t>
  </si>
  <si>
    <t>Lanyuak</t>
  </si>
  <si>
    <t>Mumberes</t>
  </si>
  <si>
    <t>Kabianga</t>
  </si>
  <si>
    <t>Kipsigis</t>
  </si>
  <si>
    <t>Conservative Buffer: 50% (20% buffer + 20% model uncertainty-deduction + 10% other updates)</t>
  </si>
  <si>
    <t>Net Total Project ERs (QA1)</t>
  </si>
  <si>
    <t>Avg/yr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</si>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</sst>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2"/>
      <color theme="1"/>
      <name val="Aptos Narrow"/>
      <scheme val="minor"/>
    </font>
    <font>
      <sz val="10"/>
      <color theme="1"/>
      <name val="Arial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Font="1"/>
    <xf numFmtId="43" fontId="2" fillId="0" borderId="1" xfId="1" applyFont="1" applyBorder="1" applyAlignment="1">
      <alignment horizontal="center" vertical="top"/>
    </xf>
    <xf numFmtId="43" fontId="2" fillId="0" borderId="2" xfId="1" applyFont="1" applyBorder="1" applyAlignment="1">
      <alignment horizontal="center" vertical="top"/>
    </xf>
    <xf numFmtId="43" fontId="4" fillId="0" borderId="0" xfId="1" applyFont="1"/>
    <xf numFmtId="43" fontId="3" fillId="0" borderId="0" xfId="1" applyFont="1"/>
    <xf numFmtId="43" fontId="5" fillId="0" borderId="0" xfId="1" applyFont="1"/>
    <xf numFmtId="43" fontId="3" fillId="0" borderId="3" xfId="1" applyFont="1" applyBorder="1" applyAlignment="1">
      <alignment horizontal="center"/>
    </xf>
    <xf numFmtId="43" fontId="4" fillId="0" borderId="0" xfId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ERs</a:t>
            </a:r>
            <a:r>
              <a:rPr lang="en-US" baseline="0"/>
              <a:t> by Cooperative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 Eor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_(* #,##0.00_);_(* \(#,##0.00\);_(* "-"??_);_(@_)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Summary!$B$6:$B$45</c:f>
              <c:numCache>
                <c:formatCode>_(* #,##0.00_);_(* \(#,##0.00\);_(* "-"??_);_(@_)</c:formatCode>
                <c:ptCount val="40"/>
                <c:pt idx="0">
                  <c:v>107519.18871700001</c:v>
                </c:pt>
                <c:pt idx="1">
                  <c:v>60952.723553999997</c:v>
                </c:pt>
                <c:pt idx="2">
                  <c:v>41661.992190999998</c:v>
                </c:pt>
                <c:pt idx="3">
                  <c:v>31235.48387</c:v>
                </c:pt>
                <c:pt idx="4">
                  <c:v>25405.204740000001</c:v>
                </c:pt>
                <c:pt idx="5">
                  <c:v>21987.86335</c:v>
                </c:pt>
                <c:pt idx="6">
                  <c:v>19850.655140499999</c:v>
                </c:pt>
                <c:pt idx="7">
                  <c:v>18400.840257899999</c:v>
                </c:pt>
                <c:pt idx="8">
                  <c:v>17326.582845599998</c:v>
                </c:pt>
                <c:pt idx="9">
                  <c:v>16463.150176199997</c:v>
                </c:pt>
                <c:pt idx="10">
                  <c:v>15723.137855199999</c:v>
                </c:pt>
                <c:pt idx="11">
                  <c:v>15059.898911600001</c:v>
                </c:pt>
                <c:pt idx="12">
                  <c:v>14448.2967128</c:v>
                </c:pt>
                <c:pt idx="13">
                  <c:v>13874.568362400001</c:v>
                </c:pt>
                <c:pt idx="14">
                  <c:v>13330.979579400002</c:v>
                </c:pt>
                <c:pt idx="15">
                  <c:v>12813.0069281</c:v>
                </c:pt>
                <c:pt idx="16">
                  <c:v>12317.835709300001</c:v>
                </c:pt>
                <c:pt idx="17">
                  <c:v>11843.5781969</c:v>
                </c:pt>
                <c:pt idx="18">
                  <c:v>11388.857311599999</c:v>
                </c:pt>
                <c:pt idx="19">
                  <c:v>10952.578935599999</c:v>
                </c:pt>
                <c:pt idx="20">
                  <c:v>10533.824431100002</c:v>
                </c:pt>
                <c:pt idx="21">
                  <c:v>10131.775183899999</c:v>
                </c:pt>
                <c:pt idx="22">
                  <c:v>9745.6832104999994</c:v>
                </c:pt>
                <c:pt idx="23">
                  <c:v>9374.8584357999989</c:v>
                </c:pt>
                <c:pt idx="24">
                  <c:v>9018.6450033000001</c:v>
                </c:pt>
                <c:pt idx="25">
                  <c:v>8676.4313652000001</c:v>
                </c:pt>
                <c:pt idx="26">
                  <c:v>8347.6261539000006</c:v>
                </c:pt>
                <c:pt idx="27">
                  <c:v>8031.6748525999992</c:v>
                </c:pt>
                <c:pt idx="28">
                  <c:v>7728.0457568999991</c:v>
                </c:pt>
                <c:pt idx="29">
                  <c:v>7436.2299747999996</c:v>
                </c:pt>
                <c:pt idx="30">
                  <c:v>7155.7444976000006</c:v>
                </c:pt>
                <c:pt idx="31">
                  <c:v>6886.1264967999996</c:v>
                </c:pt>
                <c:pt idx="32">
                  <c:v>6626.9355176000008</c:v>
                </c:pt>
                <c:pt idx="33">
                  <c:v>6377.7442662000003</c:v>
                </c:pt>
                <c:pt idx="34">
                  <c:v>6138.1548416999995</c:v>
                </c:pt>
                <c:pt idx="35">
                  <c:v>5907.7772397999997</c:v>
                </c:pt>
                <c:pt idx="36">
                  <c:v>5686.2411976999992</c:v>
                </c:pt>
                <c:pt idx="37">
                  <c:v>5473.1948780000002</c:v>
                </c:pt>
                <c:pt idx="38">
                  <c:v>5268.3013590999999</c:v>
                </c:pt>
                <c:pt idx="39">
                  <c:v>5071.2324933999998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F3-234F-8854-9482024E4458}"/>
            </c:ext>
          </c:extLst>
        </c:ser>
        <c:ser>
          <c:idx val="1"/>
          <c:order val="1"/>
          <c:tx>
            <c:strRef>
              <c:f>Summary!$C$5</c:f>
              <c:strCache>
                <c:ptCount val="1"/>
                <c:pt idx="0">
                  <c:v> Lanyuak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_(* #,##0.00_);_(* \(#,##0.00\);_(* "-"??_);_(@_)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Summary!$C$6:$C$45</c:f>
              <c:numCache>
                <c:formatCode>_(* #,##0.00_);_(* \(#,##0.00\);_(* "-"??_);_(@_)</c:formatCode>
                <c:ptCount val="40"/>
                <c:pt idx="0">
                  <c:v>102417.87455000001</c:v>
                </c:pt>
                <c:pt idx="1">
                  <c:v>58061.071605999998</c:v>
                </c:pt>
                <c:pt idx="2">
                  <c:v>39685.954131999999</c:v>
                </c:pt>
                <c:pt idx="3">
                  <c:v>29754.499358000001</c:v>
                </c:pt>
                <c:pt idx="4">
                  <c:v>24201.211126000002</c:v>
                </c:pt>
                <c:pt idx="5">
                  <c:v>20946.346920399999</c:v>
                </c:pt>
                <c:pt idx="6">
                  <c:v>18910.855951999998</c:v>
                </c:pt>
                <c:pt idx="7">
                  <c:v>17530.1144494</c:v>
                </c:pt>
                <c:pt idx="8">
                  <c:v>16507.085316000001</c:v>
                </c:pt>
                <c:pt idx="9">
                  <c:v>15684.855250600001</c:v>
                </c:pt>
                <c:pt idx="10">
                  <c:v>14980.170038</c:v>
                </c:pt>
                <c:pt idx="11">
                  <c:v>14348.595240800001</c:v>
                </c:pt>
                <c:pt idx="12">
                  <c:v>13766.186614400001</c:v>
                </c:pt>
                <c:pt idx="13">
                  <c:v>13219.839577600002</c:v>
                </c:pt>
                <c:pt idx="14">
                  <c:v>12702.184976600001</c:v>
                </c:pt>
                <c:pt idx="15">
                  <c:v>12208.9159674</c:v>
                </c:pt>
                <c:pt idx="16">
                  <c:v>11737.350855799999</c:v>
                </c:pt>
                <c:pt idx="17">
                  <c:v>11285.695973399999</c:v>
                </c:pt>
                <c:pt idx="18">
                  <c:v>10852.636086999999</c:v>
                </c:pt>
                <c:pt idx="19">
                  <c:v>10437.133427999999</c:v>
                </c:pt>
                <c:pt idx="20">
                  <c:v>10038.311328799999</c:v>
                </c:pt>
                <c:pt idx="21">
                  <c:v>9655.3907096000003</c:v>
                </c:pt>
                <c:pt idx="22">
                  <c:v>9287.6622624000011</c:v>
                </c:pt>
                <c:pt idx="23">
                  <c:v>8934.4662844000013</c:v>
                </c:pt>
                <c:pt idx="24">
                  <c:v>8595.1822470000006</c:v>
                </c:pt>
                <c:pt idx="25">
                  <c:v>8269.2218417999993</c:v>
                </c:pt>
                <c:pt idx="26">
                  <c:v>7956.0299077999998</c:v>
                </c:pt>
                <c:pt idx="27">
                  <c:v>7655.0742321999996</c:v>
                </c:pt>
                <c:pt idx="28">
                  <c:v>7365.8483320000014</c:v>
                </c:pt>
                <c:pt idx="29">
                  <c:v>7087.8707586</c:v>
                </c:pt>
                <c:pt idx="30">
                  <c:v>6820.6797664000005</c:v>
                </c:pt>
                <c:pt idx="31">
                  <c:v>6563.8363262000003</c:v>
                </c:pt>
                <c:pt idx="32">
                  <c:v>6316.9185619999998</c:v>
                </c:pt>
                <c:pt idx="33">
                  <c:v>6079.524069000001</c:v>
                </c:pt>
                <c:pt idx="34">
                  <c:v>5851.2696818000004</c:v>
                </c:pt>
                <c:pt idx="35">
                  <c:v>5631.7875337999994</c:v>
                </c:pt>
                <c:pt idx="36">
                  <c:v>5420.7248254000006</c:v>
                </c:pt>
                <c:pt idx="37">
                  <c:v>5217.7466056000003</c:v>
                </c:pt>
                <c:pt idx="38">
                  <c:v>5022.5278908</c:v>
                </c:pt>
                <c:pt idx="39">
                  <c:v>4834.7638640000005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F3-234F-8854-9482024E4458}"/>
            </c:ext>
          </c:extLst>
        </c:ser>
        <c:ser>
          <c:idx val="2"/>
          <c:order val="2"/>
          <c:tx>
            <c:strRef>
              <c:f>Summary!$D$5</c:f>
              <c:strCache>
                <c:ptCount val="1"/>
                <c:pt idx="0">
                  <c:v> Mumberes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_(* #,##0.00_);_(* \(#,##0.00\);_(* "-"??_);_(@_)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Summary!$D$6:$D$45</c:f>
              <c:numCache>
                <c:formatCode>_(* #,##0.00_);_(* \(#,##0.00\);_(* "-"??_);_(@_)</c:formatCode>
                <c:ptCount val="40"/>
                <c:pt idx="0">
                  <c:v>40452.364949269002</c:v>
                </c:pt>
                <c:pt idx="1">
                  <c:v>21280.480682460999</c:v>
                </c:pt>
                <c:pt idx="2">
                  <c:v>13399.779089423999</c:v>
                </c:pt>
                <c:pt idx="3">
                  <c:v>9200.4178535749998</c:v>
                </c:pt>
                <c:pt idx="4">
                  <c:v>6905.2993933690004</c:v>
                </c:pt>
                <c:pt idx="5">
                  <c:v>5606.5690984914008</c:v>
                </c:pt>
                <c:pt idx="6">
                  <c:v>4834.0410343601998</c:v>
                </c:pt>
                <c:pt idx="7">
                  <c:v>4342.1927596410997</c:v>
                </c:pt>
                <c:pt idx="8">
                  <c:v>4002.1404567677</c:v>
                </c:pt>
                <c:pt idx="9">
                  <c:v>3745.9524700441998</c:v>
                </c:pt>
                <c:pt idx="10">
                  <c:v>3537.6795635129001</c:v>
                </c:pt>
                <c:pt idx="11">
                  <c:v>3358.1901966444002</c:v>
                </c:pt>
                <c:pt idx="12">
                  <c:v>3197.2154558811999</c:v>
                </c:pt>
                <c:pt idx="13">
                  <c:v>3049.1659390465002</c:v>
                </c:pt>
                <c:pt idx="14">
                  <c:v>2910.9260861343</c:v>
                </c:pt>
                <c:pt idx="15">
                  <c:v>2780.6974467479999</c:v>
                </c:pt>
                <c:pt idx="16">
                  <c:v>2657.3818573952003</c:v>
                </c:pt>
                <c:pt idx="17">
                  <c:v>2540.2616700942003</c:v>
                </c:pt>
                <c:pt idx="18">
                  <c:v>2428.8283035445002</c:v>
                </c:pt>
                <c:pt idx="19">
                  <c:v>2322.6883229732002</c:v>
                </c:pt>
                <c:pt idx="20">
                  <c:v>2221.5194936791995</c:v>
                </c:pt>
                <c:pt idx="21">
                  <c:v>2125.0425840227999</c:v>
                </c:pt>
                <c:pt idx="22">
                  <c:v>2033.0053408235999</c:v>
                </c:pt>
                <c:pt idx="23">
                  <c:v>1945.1794757394996</c:v>
                </c:pt>
                <c:pt idx="24">
                  <c:v>1861.3514278632001</c:v>
                </c:pt>
                <c:pt idx="25">
                  <c:v>1781.3218003060999</c:v>
                </c:pt>
                <c:pt idx="26">
                  <c:v>1704.903014815</c:v>
                </c:pt>
                <c:pt idx="27">
                  <c:v>1631.9191938477998</c:v>
                </c:pt>
                <c:pt idx="28">
                  <c:v>1562.2032517741002</c:v>
                </c:pt>
                <c:pt idx="29">
                  <c:v>1495.5987423559</c:v>
                </c:pt>
                <c:pt idx="30">
                  <c:v>1431.9559410402999</c:v>
                </c:pt>
                <c:pt idx="31">
                  <c:v>1371.1337448509998</c:v>
                </c:pt>
                <c:pt idx="32">
                  <c:v>1312.9994496424001</c:v>
                </c:pt>
                <c:pt idx="33">
                  <c:v>1257.4260116353003</c:v>
                </c:pt>
                <c:pt idx="34">
                  <c:v>1204.2938293840998</c:v>
                </c:pt>
                <c:pt idx="35">
                  <c:v>1153.4886211394</c:v>
                </c:pt>
                <c:pt idx="36">
                  <c:v>1104.9025516802001</c:v>
                </c:pt>
                <c:pt idx="37">
                  <c:v>1058.4336033843001</c:v>
                </c:pt>
                <c:pt idx="38">
                  <c:v>1013.9834535909001</c:v>
                </c:pt>
                <c:pt idx="39">
                  <c:v>971.46106474039993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F3-234F-8854-9482024E4458}"/>
            </c:ext>
          </c:extLst>
        </c:ser>
        <c:ser>
          <c:idx val="3"/>
          <c:order val="3"/>
          <c:tx>
            <c:strRef>
              <c:f>Summary!$E$5</c:f>
              <c:strCache>
                <c:ptCount val="1"/>
                <c:pt idx="0">
                  <c:v> Kabianga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_(* #,##0.00_);_(* \(#,##0.00\);_(* "-"??_);_(@_)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Summary!$E$6:$E$45</c:f>
              <c:numCache>
                <c:formatCode>_(* #,##0.00_);_(* \(#,##0.00\);_(* "-"??_);_(@_)</c:formatCode>
                <c:ptCount val="40"/>
                <c:pt idx="0">
                  <c:v>332312.82558446063</c:v>
                </c:pt>
                <c:pt idx="1">
                  <c:v>174448.94177935424</c:v>
                </c:pt>
                <c:pt idx="2">
                  <c:v>109277.54037658536</c:v>
                </c:pt>
                <c:pt idx="3">
                  <c:v>74340.037491988376</c:v>
                </c:pt>
                <c:pt idx="4">
                  <c:v>55070.565181547456</c:v>
                </c:pt>
                <c:pt idx="5">
                  <c:v>44023.768124903429</c:v>
                </c:pt>
                <c:pt idx="6">
                  <c:v>37339.956670203588</c:v>
                </c:pt>
                <c:pt idx="7">
                  <c:v>33000.857299389223</c:v>
                </c:pt>
                <c:pt idx="8">
                  <c:v>29944.880361372416</c:v>
                </c:pt>
                <c:pt idx="9">
                  <c:v>27610.855983306959</c:v>
                </c:pt>
                <c:pt idx="10">
                  <c:v>25700.450618235009</c:v>
                </c:pt>
                <c:pt idx="11">
                  <c:v>24053.763575342542</c:v>
                </c:pt>
                <c:pt idx="12">
                  <c:v>22583.975516281218</c:v>
                </c:pt>
                <c:pt idx="13">
                  <c:v>21242.950112549101</c:v>
                </c:pt>
                <c:pt idx="14">
                  <c:v>20003.103556363923</c:v>
                </c:pt>
                <c:pt idx="15">
                  <c:v>18847.83731223645</c:v>
                </c:pt>
                <c:pt idx="16">
                  <c:v>17766.482945510197</c:v>
                </c:pt>
                <c:pt idx="17">
                  <c:v>16751.626113774961</c:v>
                </c:pt>
                <c:pt idx="18">
                  <c:v>15797.685856665965</c:v>
                </c:pt>
                <c:pt idx="19">
                  <c:v>14900.156686660333</c:v>
                </c:pt>
                <c:pt idx="20">
                  <c:v>14055.200990021849</c:v>
                </c:pt>
                <c:pt idx="21">
                  <c:v>13259.426862837496</c:v>
                </c:pt>
                <c:pt idx="22">
                  <c:v>12509.76435313305</c:v>
                </c:pt>
                <c:pt idx="23">
                  <c:v>11803.394143548758</c:v>
                </c:pt>
                <c:pt idx="24">
                  <c:v>11137.704375373103</c:v>
                </c:pt>
                <c:pt idx="25">
                  <c:v>10510.26275018114</c:v>
                </c:pt>
                <c:pt idx="26">
                  <c:v>9918.7970831210605</c:v>
                </c:pt>
                <c:pt idx="27">
                  <c:v>9361.1806717177169</c:v>
                </c:pt>
                <c:pt idx="28">
                  <c:v>8835.4205307423181</c:v>
                </c:pt>
                <c:pt idx="29">
                  <c:v>8339.6474368051367</c:v>
                </c:pt>
                <c:pt idx="30">
                  <c:v>7872.1072003750023</c:v>
                </c:pt>
                <c:pt idx="31">
                  <c:v>7431.1528354821794</c:v>
                </c:pt>
                <c:pt idx="32">
                  <c:v>7015.2374327279922</c:v>
                </c:pt>
                <c:pt idx="33">
                  <c:v>6622.907614661448</c:v>
                </c:pt>
                <c:pt idx="34">
                  <c:v>6252.7974928714002</c:v>
                </c:pt>
                <c:pt idx="35">
                  <c:v>5903.6230690654102</c:v>
                </c:pt>
                <c:pt idx="36">
                  <c:v>5574.177035783282</c:v>
                </c:pt>
                <c:pt idx="37">
                  <c:v>5263.3239406504599</c:v>
                </c:pt>
                <c:pt idx="38">
                  <c:v>4969.9956836370629</c:v>
                </c:pt>
                <c:pt idx="39">
                  <c:v>4693.1873205393395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F3-234F-8854-9482024E4458}"/>
            </c:ext>
          </c:extLst>
        </c:ser>
        <c:ser>
          <c:idx val="4"/>
          <c:order val="4"/>
          <c:tx>
            <c:strRef>
              <c:f>Summary!$F$5</c:f>
              <c:strCache>
                <c:ptCount val="1"/>
                <c:pt idx="0">
                  <c:v> Kipsigis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Summary!$A$6:$A$45</c:f>
              <c:numCache>
                <c:formatCode>_(* #,##0.00_);_(* \(#,##0.00\);_(* "-"??_);_(@_)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cat>
          <c:val>
            <c:numRef>
              <c:f>Summary!$F$6:$F$45</c:f>
              <c:numCache>
                <c:formatCode>_(* #,##0.00_);_(* \(#,##0.00\);_(* "-"??_);_(@_)</c:formatCode>
                <c:ptCount val="40"/>
                <c:pt idx="0">
                  <c:v>213660.76020424085</c:v>
                </c:pt>
                <c:pt idx="1">
                  <c:v>112174.3783290954</c:v>
                </c:pt>
                <c:pt idx="2">
                  <c:v>70287.37143202663</c:v>
                </c:pt>
                <c:pt idx="3">
                  <c:v>47839.311661996362</c:v>
                </c:pt>
                <c:pt idx="4">
                  <c:v>35463.811067137023</c:v>
                </c:pt>
                <c:pt idx="5">
                  <c:v>28373.427324997563</c:v>
                </c:pt>
                <c:pt idx="6">
                  <c:v>24086.505476045721</c:v>
                </c:pt>
                <c:pt idx="7">
                  <c:v>21305.488038774471</c:v>
                </c:pt>
                <c:pt idx="8">
                  <c:v>19347.971162624664</c:v>
                </c:pt>
                <c:pt idx="9">
                  <c:v>17853.304665292831</c:v>
                </c:pt>
                <c:pt idx="10">
                  <c:v>16629.820706648236</c:v>
                </c:pt>
                <c:pt idx="11">
                  <c:v>15574.843528544037</c:v>
                </c:pt>
                <c:pt idx="12">
                  <c:v>14632.671344331377</c:v>
                </c:pt>
                <c:pt idx="13">
                  <c:v>13772.461112502253</c:v>
                </c:pt>
                <c:pt idx="14">
                  <c:v>12976.573035914125</c:v>
                </c:pt>
                <c:pt idx="15">
                  <c:v>12234.42068035109</c:v>
                </c:pt>
                <c:pt idx="16">
                  <c:v>11539.221914930213</c:v>
                </c:pt>
                <c:pt idx="17">
                  <c:v>10886.279328631041</c:v>
                </c:pt>
                <c:pt idx="18">
                  <c:v>10272.06757492474</c:v>
                </c:pt>
                <c:pt idx="19">
                  <c:v>9693.746738468104</c:v>
                </c:pt>
                <c:pt idx="20">
                  <c:v>9148.9008393998174</c:v>
                </c:pt>
                <c:pt idx="21">
                  <c:v>8635.3954914901096</c:v>
                </c:pt>
                <c:pt idx="22">
                  <c:v>8151.2987745436058</c:v>
                </c:pt>
                <c:pt idx="23">
                  <c:v>7694.835778274597</c:v>
                </c:pt>
                <c:pt idx="24">
                  <c:v>7264.3612019957291</c:v>
                </c:pt>
                <c:pt idx="25">
                  <c:v>6858.3417447061101</c:v>
                </c:pt>
                <c:pt idx="26">
                  <c:v>6475.3439008420555</c:v>
                </c:pt>
                <c:pt idx="27">
                  <c:v>6114.0248269224448</c:v>
                </c:pt>
                <c:pt idx="28">
                  <c:v>5773.125028203619</c:v>
                </c:pt>
                <c:pt idx="29">
                  <c:v>5451.4621882562378</c:v>
                </c:pt>
                <c:pt idx="30">
                  <c:v>5147.9257689168553</c:v>
                </c:pt>
                <c:pt idx="31">
                  <c:v>4861.472170164936</c:v>
                </c:pt>
                <c:pt idx="32">
                  <c:v>4591.1203263998177</c:v>
                </c:pt>
                <c:pt idx="33">
                  <c:v>4335.9476626222977</c:v>
                </c:pt>
                <c:pt idx="34">
                  <c:v>4095.0863598393371</c:v>
                </c:pt>
                <c:pt idx="35">
                  <c:v>3867.7198936383998</c:v>
                </c:pt>
                <c:pt idx="36">
                  <c:v>3653.0798183632642</c:v>
                </c:pt>
                <c:pt idx="37">
                  <c:v>3450.4427745991438</c:v>
                </c:pt>
                <c:pt idx="38">
                  <c:v>3259.1277011353677</c:v>
                </c:pt>
                <c:pt idx="39">
                  <c:v>3078.4932349394576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F3-234F-8854-9482024E4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817119"/>
        <c:axId val="1885495871"/>
      </c:lineChart>
      <c:catAx>
        <c:axId val="1683817119"/>
        <c:scaling>
          <c:orientation val="minMax"/>
        </c:scaling>
        <c:delete val="0"/>
        <c:axPos val="b"/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495871"/>
        <c:crosses val="autoZero"/>
        <c:auto val="1"/>
        <c:lblAlgn val="ctr"/>
        <c:lblOffset val="100"/>
        <c:noMultiLvlLbl val="0"/>
      </c:catAx>
      <c:valAx>
        <c:axId val="188549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81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Summary!$H$5</c:f>
              <c:strCache>
                <c:ptCount val="1"/>
                <c:pt idx="0">
                  <c:v> Net Total Project ERs (QA1)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Summary!$A$6:$A$45</c:f>
              <c:numCache>
                <c:formatCode>_(* #,##0.00_);_(* \(#,##0.00\);_(* "-"??_);_(@_)</c:formatCode>
                <c:ptCount val="4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  <c:pt idx="10">
                  <c:v>2036</c:v>
                </c:pt>
                <c:pt idx="11">
                  <c:v>2037</c:v>
                </c:pt>
                <c:pt idx="12">
                  <c:v>2038</c:v>
                </c:pt>
                <c:pt idx="13">
                  <c:v>2039</c:v>
                </c:pt>
                <c:pt idx="14">
                  <c:v>2040</c:v>
                </c:pt>
                <c:pt idx="15">
                  <c:v>2041</c:v>
                </c:pt>
                <c:pt idx="16">
                  <c:v>2042</c:v>
                </c:pt>
                <c:pt idx="17">
                  <c:v>2043</c:v>
                </c:pt>
                <c:pt idx="18">
                  <c:v>2044</c:v>
                </c:pt>
                <c:pt idx="19">
                  <c:v>2045</c:v>
                </c:pt>
                <c:pt idx="20">
                  <c:v>2046</c:v>
                </c:pt>
                <c:pt idx="21">
                  <c:v>2047</c:v>
                </c:pt>
                <c:pt idx="22">
                  <c:v>2048</c:v>
                </c:pt>
                <c:pt idx="23">
                  <c:v>2049</c:v>
                </c:pt>
                <c:pt idx="24">
                  <c:v>2050</c:v>
                </c:pt>
                <c:pt idx="25">
                  <c:v>2051</c:v>
                </c:pt>
                <c:pt idx="26">
                  <c:v>2052</c:v>
                </c:pt>
                <c:pt idx="27">
                  <c:v>2053</c:v>
                </c:pt>
                <c:pt idx="28">
                  <c:v>2054</c:v>
                </c:pt>
                <c:pt idx="29">
                  <c:v>2055</c:v>
                </c:pt>
                <c:pt idx="30">
                  <c:v>2056</c:v>
                </c:pt>
                <c:pt idx="31">
                  <c:v>2057</c:v>
                </c:pt>
                <c:pt idx="32">
                  <c:v>2058</c:v>
                </c:pt>
                <c:pt idx="33">
                  <c:v>2059</c:v>
                </c:pt>
                <c:pt idx="34">
                  <c:v>2060</c:v>
                </c:pt>
                <c:pt idx="35">
                  <c:v>2061</c:v>
                </c:pt>
                <c:pt idx="36">
                  <c:v>2062</c:v>
                </c:pt>
                <c:pt idx="37">
                  <c:v>2063</c:v>
                </c:pt>
                <c:pt idx="38">
                  <c:v>2064</c:v>
                </c:pt>
                <c:pt idx="39">
                  <c:v>2065</c:v>
                </c:pt>
              </c:numCache>
            </c:numRef>
          </c:xVal>
          <c:yVal>
            <c:numRef>
              <c:f>Summary!$H$6:$H$45</c:f>
              <c:numCache>
                <c:formatCode>_(* #,##0.00_);_(* \(#,##0.00\);_(* "-"??_);_(@_)</c:formatCode>
                <c:ptCount val="40"/>
                <c:pt idx="0">
                  <c:v>796363.01400497044</c:v>
                </c:pt>
                <c:pt idx="1">
                  <c:v>426917.59595091059</c:v>
                </c:pt>
                <c:pt idx="2">
                  <c:v>274312.63722103596</c:v>
                </c:pt>
                <c:pt idx="3">
                  <c:v>192369.75023555971</c:v>
                </c:pt>
                <c:pt idx="4">
                  <c:v>147046.09150805348</c:v>
                </c:pt>
                <c:pt idx="5">
                  <c:v>120937.9748187924</c:v>
                </c:pt>
                <c:pt idx="6">
                  <c:v>105022.0142731095</c:v>
                </c:pt>
                <c:pt idx="7">
                  <c:v>94579.49280510479</c:v>
                </c:pt>
                <c:pt idx="8">
                  <c:v>87128.660142364766</c:v>
                </c:pt>
                <c:pt idx="9">
                  <c:v>81358.118545443984</c:v>
                </c:pt>
                <c:pt idx="10">
                  <c:v>76571.258781596145</c:v>
                </c:pt>
                <c:pt idx="11">
                  <c:v>72395.291452930978</c:v>
                </c:pt>
                <c:pt idx="12">
                  <c:v>68628.3456436938</c:v>
                </c:pt>
                <c:pt idx="13">
                  <c:v>65158.985104097854</c:v>
                </c:pt>
                <c:pt idx="14">
                  <c:v>61923.767234412349</c:v>
                </c:pt>
                <c:pt idx="15">
                  <c:v>58884.878334835535</c:v>
                </c:pt>
                <c:pt idx="16">
                  <c:v>56018.27328293561</c:v>
                </c:pt>
                <c:pt idx="17">
                  <c:v>53307.441282800202</c:v>
                </c:pt>
                <c:pt idx="18">
                  <c:v>50740.075133735198</c:v>
                </c:pt>
                <c:pt idx="19">
                  <c:v>48306.30411170164</c:v>
                </c:pt>
                <c:pt idx="20">
                  <c:v>45997.757083000863</c:v>
                </c:pt>
                <c:pt idx="21">
                  <c:v>43807.03083185041</c:v>
                </c:pt>
                <c:pt idx="22">
                  <c:v>41727.413941400249</c:v>
                </c:pt>
                <c:pt idx="23">
                  <c:v>39752.734117762855</c:v>
                </c:pt>
                <c:pt idx="24">
                  <c:v>37877.24425553203</c:v>
                </c:pt>
                <c:pt idx="25">
                  <c:v>36095.579502193352</c:v>
                </c:pt>
                <c:pt idx="26">
                  <c:v>34402.700060478113</c:v>
                </c:pt>
                <c:pt idx="27">
                  <c:v>32793.873777287961</c:v>
                </c:pt>
                <c:pt idx="28">
                  <c:v>31264.642899620037</c:v>
                </c:pt>
                <c:pt idx="29">
                  <c:v>29810.809100817274</c:v>
                </c:pt>
                <c:pt idx="30">
                  <c:v>28428.41317433216</c:v>
                </c:pt>
                <c:pt idx="31">
                  <c:v>27113.721573498115</c:v>
                </c:pt>
                <c:pt idx="32">
                  <c:v>25863.211288370214</c:v>
                </c:pt>
                <c:pt idx="33">
                  <c:v>24673.549624119049</c:v>
                </c:pt>
                <c:pt idx="34">
                  <c:v>23541.602205594838</c:v>
                </c:pt>
                <c:pt idx="35">
                  <c:v>22464.396357443213</c:v>
                </c:pt>
                <c:pt idx="36">
                  <c:v>21439.125428926745</c:v>
                </c:pt>
                <c:pt idx="37">
                  <c:v>20463.141802233902</c:v>
                </c:pt>
                <c:pt idx="38">
                  <c:v>19533.93608826333</c:v>
                </c:pt>
                <c:pt idx="39">
                  <c:v>18649.137977619197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48-8843-AFF2-7831CA282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070864"/>
        <c:axId val="2006895647"/>
      </c:scatterChart>
      <c:valAx>
        <c:axId val="121607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95647"/>
        <c:crosses val="autoZero"/>
        <c:crossBetween val="midCat"/>
      </c:valAx>
      <c:valAx>
        <c:axId val="200689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7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115732</xdr:colOff>
      <xdr:row>2</xdr:row>
      <xdr:rowOff>94560</xdr:rowOff>
    </xdr:from>
    <xdr:to>
      <xdr:col>14</xdr:col>
      <xdr:colOff>555192</xdr:colOff>
      <xdr:row>16</xdr:row>
      <xdr:rowOff>10886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FF5CE0-A0B0-5556-81F6-F3481C1B5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27214</xdr:colOff>
      <xdr:row>19</xdr:row>
      <xdr:rowOff>110822</xdr:rowOff>
    </xdr:from>
    <xdr:to>
      <xdr:col>14</xdr:col>
      <xdr:colOff>471713</xdr:colOff>
      <xdr:row>33</xdr:row>
      <xdr:rowOff>8315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292AC0-A6EF-6BE5-270E-E4B99BED73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BA3-596E-B946-9E4A-D51BBBAF87D8}">
  <dimension ref="A3:H48"/>
  <sheetViews>
    <sheetView tabSelected="1" topLeftCell="A3" zoomScale="186" workbookViewId="0">
      <selection activeCell="C6" sqref="C6"/>
    </sheetView>
  </sheetViews>
  <sheetFormatPr baseColWidth="10" defaultRowHeight="16"/>
  <cols>
    <col min="1" max="1" width="11" style="1" bestFit="1" customWidth="1"/>
    <col min="2" max="3" width="11.5" style="1" bestFit="1" customWidth="1"/>
    <col min="4" max="4" width="11" style="1" bestFit="1" customWidth="1"/>
    <col min="5" max="6" width="11.5" style="1" bestFit="1" customWidth="1"/>
    <col min="7" max="7" width="10.83203125" style="1"/>
    <col min="8" max="8" width="13" style="1" bestFit="1" customWidth="1"/>
    <col min="9" max="16384" width="10.83203125" style="1"/>
  </cols>
  <sheetData>
    <row r="3" spans="1:8">
      <c r="A3" s="1" t="s">
        <v>18</v>
      </c>
    </row>
    <row r="5" spans="1:8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H5" s="1" t="s">
        <v>19</v>
      </c>
    </row>
    <row r="6" spans="1:8">
      <c r="A6" s="1">
        <v>2026</v>
      </c>
      <c r="B6" s="1">
        <f>Eor!C3 * 0.5</f>
        <v>107519.18871700001</v>
      </c>
      <c r="C6" s="1">
        <f>Lanyuak!E3 * 0.5</f>
        <v>102417.87455000001</v>
      </c>
      <c r="D6" s="1">
        <f>Mumberes!E3*0.5</f>
        <v>40452.364949269002</v>
      </c>
      <c r="E6" s="1">
        <f>Kabianga!C3*0.5</f>
        <v>332312.82558446063</v>
      </c>
      <c r="F6" s="1">
        <f>Kipsigis!B3*0.5</f>
        <v>213660.76020424085</v>
      </c>
      <c r="H6" s="1">
        <f>SUM(B6:F6)</f>
        <v>796363.01400497044</v>
      </c>
    </row>
    <row r="7" spans="1:8">
      <c r="A7" s="1">
        <v>2027</v>
      </c>
      <c r="B7" s="1">
        <f>Eor!C4 * 0.5</f>
        <v>60952.723553999997</v>
      </c>
      <c r="C7" s="1">
        <f>Lanyuak!E4 * 0.5</f>
        <v>58061.071605999998</v>
      </c>
      <c r="D7" s="1">
        <f>Mumberes!E4*0.5</f>
        <v>21280.480682460999</v>
      </c>
      <c r="E7" s="1">
        <f>Kabianga!C4*0.5</f>
        <v>174448.94177935424</v>
      </c>
      <c r="F7" s="1">
        <f>Kipsigis!B4*0.5</f>
        <v>112174.3783290954</v>
      </c>
      <c r="H7" s="1">
        <f t="shared" ref="H7:H45" si="0">SUM(B7:F7)</f>
        <v>426917.59595091059</v>
      </c>
    </row>
    <row r="8" spans="1:8">
      <c r="A8" s="1">
        <v>2028</v>
      </c>
      <c r="B8" s="1">
        <f>Eor!C5 * 0.5</f>
        <v>41661.992190999998</v>
      </c>
      <c r="C8" s="1">
        <f>Lanyuak!E5 * 0.5</f>
        <v>39685.954131999999</v>
      </c>
      <c r="D8" s="1">
        <f>Mumberes!E5*0.5</f>
        <v>13399.779089423999</v>
      </c>
      <c r="E8" s="1">
        <f>Kabianga!C5*0.5</f>
        <v>109277.54037658536</v>
      </c>
      <c r="F8" s="1">
        <f>Kipsigis!B5*0.5</f>
        <v>70287.37143202663</v>
      </c>
      <c r="H8" s="1">
        <f t="shared" si="0"/>
        <v>274312.63722103596</v>
      </c>
    </row>
    <row r="9" spans="1:8">
      <c r="A9" s="1">
        <v>2029</v>
      </c>
      <c r="B9" s="1">
        <f>Eor!C6 * 0.5</f>
        <v>31235.48387</v>
      </c>
      <c r="C9" s="1">
        <f>Lanyuak!E6 * 0.5</f>
        <v>29754.499358000001</v>
      </c>
      <c r="D9" s="1">
        <f>Mumberes!E6*0.5</f>
        <v>9200.4178535749998</v>
      </c>
      <c r="E9" s="1">
        <f>Kabianga!C6*0.5</f>
        <v>74340.037491988376</v>
      </c>
      <c r="F9" s="1">
        <f>Kipsigis!B6*0.5</f>
        <v>47839.311661996362</v>
      </c>
      <c r="H9" s="1">
        <f t="shared" si="0"/>
        <v>192369.75023555971</v>
      </c>
    </row>
    <row r="10" spans="1:8">
      <c r="A10" s="1">
        <v>2030</v>
      </c>
      <c r="B10" s="1">
        <f>Eor!C7 * 0.5</f>
        <v>25405.204740000001</v>
      </c>
      <c r="C10" s="1">
        <f>Lanyuak!E7 * 0.5</f>
        <v>24201.211126000002</v>
      </c>
      <c r="D10" s="1">
        <f>Mumberes!E7*0.5</f>
        <v>6905.2993933690004</v>
      </c>
      <c r="E10" s="1">
        <f>Kabianga!C7*0.5</f>
        <v>55070.565181547456</v>
      </c>
      <c r="F10" s="1">
        <f>Kipsigis!B7*0.5</f>
        <v>35463.811067137023</v>
      </c>
      <c r="H10" s="1">
        <f t="shared" si="0"/>
        <v>147046.09150805348</v>
      </c>
    </row>
    <row r="11" spans="1:8">
      <c r="A11" s="1">
        <v>2031</v>
      </c>
      <c r="B11" s="1">
        <f>Eor!C8 * 0.5</f>
        <v>21987.86335</v>
      </c>
      <c r="C11" s="1">
        <f>Lanyuak!E8 * 0.5</f>
        <v>20946.346920399999</v>
      </c>
      <c r="D11" s="1">
        <f>Mumberes!E8*0.5</f>
        <v>5606.5690984914008</v>
      </c>
      <c r="E11" s="1">
        <f>Kabianga!C8*0.5</f>
        <v>44023.768124903429</v>
      </c>
      <c r="F11" s="1">
        <f>Kipsigis!B8*0.5</f>
        <v>28373.427324997563</v>
      </c>
      <c r="H11" s="1">
        <f t="shared" si="0"/>
        <v>120937.9748187924</v>
      </c>
    </row>
    <row r="12" spans="1:8">
      <c r="A12" s="1">
        <v>2032</v>
      </c>
      <c r="B12" s="1">
        <f>Eor!C9 * 0.5</f>
        <v>19850.655140499999</v>
      </c>
      <c r="C12" s="1">
        <f>Lanyuak!E9 * 0.5</f>
        <v>18910.855951999998</v>
      </c>
      <c r="D12" s="1">
        <f>Mumberes!E9*0.5</f>
        <v>4834.0410343601998</v>
      </c>
      <c r="E12" s="1">
        <f>Kabianga!C9*0.5</f>
        <v>37339.956670203588</v>
      </c>
      <c r="F12" s="1">
        <f>Kipsigis!B9*0.5</f>
        <v>24086.505476045721</v>
      </c>
      <c r="H12" s="1">
        <f t="shared" si="0"/>
        <v>105022.0142731095</v>
      </c>
    </row>
    <row r="13" spans="1:8">
      <c r="A13" s="1">
        <v>2033</v>
      </c>
      <c r="B13" s="1">
        <f>Eor!C10 * 0.5</f>
        <v>18400.840257899999</v>
      </c>
      <c r="C13" s="1">
        <f>Lanyuak!E10 * 0.5</f>
        <v>17530.1144494</v>
      </c>
      <c r="D13" s="1">
        <f>Mumberes!E10*0.5</f>
        <v>4342.1927596410997</v>
      </c>
      <c r="E13" s="1">
        <f>Kabianga!C10*0.5</f>
        <v>33000.857299389223</v>
      </c>
      <c r="F13" s="1">
        <f>Kipsigis!B10*0.5</f>
        <v>21305.488038774471</v>
      </c>
      <c r="H13" s="1">
        <f t="shared" si="0"/>
        <v>94579.49280510479</v>
      </c>
    </row>
    <row r="14" spans="1:8">
      <c r="A14" s="1">
        <v>2034</v>
      </c>
      <c r="B14" s="1">
        <f>Eor!C11 * 0.5</f>
        <v>17326.582845599998</v>
      </c>
      <c r="C14" s="1">
        <f>Lanyuak!E11 * 0.5</f>
        <v>16507.085316000001</v>
      </c>
      <c r="D14" s="1">
        <f>Mumberes!E11*0.5</f>
        <v>4002.1404567677</v>
      </c>
      <c r="E14" s="1">
        <f>Kabianga!C11*0.5</f>
        <v>29944.880361372416</v>
      </c>
      <c r="F14" s="1">
        <f>Kipsigis!B11*0.5</f>
        <v>19347.971162624664</v>
      </c>
      <c r="H14" s="1">
        <f t="shared" si="0"/>
        <v>87128.660142364766</v>
      </c>
    </row>
    <row r="15" spans="1:8">
      <c r="A15" s="1">
        <v>2035</v>
      </c>
      <c r="B15" s="1">
        <f>Eor!C12 * 0.5</f>
        <v>16463.150176199997</v>
      </c>
      <c r="C15" s="1">
        <f>Lanyuak!E12 * 0.5</f>
        <v>15684.855250600001</v>
      </c>
      <c r="D15" s="1">
        <f>Mumberes!E12*0.5</f>
        <v>3745.9524700441998</v>
      </c>
      <c r="E15" s="1">
        <f>Kabianga!C12*0.5</f>
        <v>27610.855983306959</v>
      </c>
      <c r="F15" s="1">
        <f>Kipsigis!B12*0.5</f>
        <v>17853.304665292831</v>
      </c>
      <c r="H15" s="1">
        <f t="shared" si="0"/>
        <v>81358.118545443984</v>
      </c>
    </row>
    <row r="16" spans="1:8">
      <c r="A16" s="1">
        <v>2036</v>
      </c>
      <c r="B16" s="1">
        <f>Eor!C13 * 0.5</f>
        <v>15723.137855199999</v>
      </c>
      <c r="C16" s="1">
        <f>Lanyuak!E13 * 0.5</f>
        <v>14980.170038</v>
      </c>
      <c r="D16" s="1">
        <f>Mumberes!E13*0.5</f>
        <v>3537.6795635129001</v>
      </c>
      <c r="E16" s="1">
        <f>Kabianga!C13*0.5</f>
        <v>25700.450618235009</v>
      </c>
      <c r="F16" s="1">
        <f>Kipsigis!B13*0.5</f>
        <v>16629.820706648236</v>
      </c>
      <c r="H16" s="1">
        <f t="shared" si="0"/>
        <v>76571.258781596145</v>
      </c>
    </row>
    <row r="17" spans="1:8">
      <c r="A17" s="1">
        <v>2037</v>
      </c>
      <c r="B17" s="1">
        <f>Eor!C14 * 0.5</f>
        <v>15059.898911600001</v>
      </c>
      <c r="C17" s="1">
        <f>Lanyuak!E14 * 0.5</f>
        <v>14348.595240800001</v>
      </c>
      <c r="D17" s="1">
        <f>Mumberes!E14*0.5</f>
        <v>3358.1901966444002</v>
      </c>
      <c r="E17" s="1">
        <f>Kabianga!C14*0.5</f>
        <v>24053.763575342542</v>
      </c>
      <c r="F17" s="1">
        <f>Kipsigis!B14*0.5</f>
        <v>15574.843528544037</v>
      </c>
      <c r="H17" s="1">
        <f t="shared" si="0"/>
        <v>72395.291452930978</v>
      </c>
    </row>
    <row r="18" spans="1:8">
      <c r="A18" s="1">
        <v>2038</v>
      </c>
      <c r="B18" s="1">
        <f>Eor!C15 * 0.5</f>
        <v>14448.2967128</v>
      </c>
      <c r="C18" s="1">
        <f>Lanyuak!E15 * 0.5</f>
        <v>13766.186614400001</v>
      </c>
      <c r="D18" s="1">
        <f>Mumberes!E15*0.5</f>
        <v>3197.2154558811999</v>
      </c>
      <c r="E18" s="1">
        <f>Kabianga!C15*0.5</f>
        <v>22583.975516281218</v>
      </c>
      <c r="F18" s="1">
        <f>Kipsigis!B15*0.5</f>
        <v>14632.671344331377</v>
      </c>
      <c r="H18" s="1">
        <f t="shared" si="0"/>
        <v>68628.3456436938</v>
      </c>
    </row>
    <row r="19" spans="1:8">
      <c r="A19" s="1">
        <v>2039</v>
      </c>
      <c r="B19" s="1">
        <f>Eor!C16 * 0.5</f>
        <v>13874.568362400001</v>
      </c>
      <c r="C19" s="1">
        <f>Lanyuak!E16 * 0.5</f>
        <v>13219.839577600002</v>
      </c>
      <c r="D19" s="1">
        <f>Mumberes!E16*0.5</f>
        <v>3049.1659390465002</v>
      </c>
      <c r="E19" s="1">
        <f>Kabianga!C16*0.5</f>
        <v>21242.950112549101</v>
      </c>
      <c r="F19" s="1">
        <f>Kipsigis!B16*0.5</f>
        <v>13772.461112502253</v>
      </c>
      <c r="H19" s="1">
        <f t="shared" si="0"/>
        <v>65158.985104097854</v>
      </c>
    </row>
    <row r="20" spans="1:8">
      <c r="A20" s="1">
        <v>2040</v>
      </c>
      <c r="B20" s="1">
        <f>Eor!C17 * 0.5</f>
        <v>13330.979579400002</v>
      </c>
      <c r="C20" s="1">
        <f>Lanyuak!E17 * 0.5</f>
        <v>12702.184976600001</v>
      </c>
      <c r="D20" s="1">
        <f>Mumberes!E17*0.5</f>
        <v>2910.9260861343</v>
      </c>
      <c r="E20" s="1">
        <f>Kabianga!C17*0.5</f>
        <v>20003.103556363923</v>
      </c>
      <c r="F20" s="1">
        <f>Kipsigis!B17*0.5</f>
        <v>12976.573035914125</v>
      </c>
      <c r="H20" s="1">
        <f t="shared" si="0"/>
        <v>61923.767234412349</v>
      </c>
    </row>
    <row r="21" spans="1:8">
      <c r="A21" s="1">
        <v>2041</v>
      </c>
      <c r="B21" s="1">
        <f>Eor!C18 * 0.5</f>
        <v>12813.0069281</v>
      </c>
      <c r="C21" s="1">
        <f>Lanyuak!E18 * 0.5</f>
        <v>12208.9159674</v>
      </c>
      <c r="D21" s="1">
        <f>Mumberes!E18*0.5</f>
        <v>2780.6974467479999</v>
      </c>
      <c r="E21" s="1">
        <f>Kabianga!C18*0.5</f>
        <v>18847.83731223645</v>
      </c>
      <c r="F21" s="1">
        <f>Kipsigis!B18*0.5</f>
        <v>12234.42068035109</v>
      </c>
      <c r="H21" s="1">
        <f t="shared" si="0"/>
        <v>58884.878334835535</v>
      </c>
    </row>
    <row r="22" spans="1:8">
      <c r="A22" s="1">
        <v>2042</v>
      </c>
      <c r="B22" s="1">
        <f>Eor!C19 * 0.5</f>
        <v>12317.835709300001</v>
      </c>
      <c r="C22" s="1">
        <f>Lanyuak!E19 * 0.5</f>
        <v>11737.350855799999</v>
      </c>
      <c r="D22" s="1">
        <f>Mumberes!E19*0.5</f>
        <v>2657.3818573952003</v>
      </c>
      <c r="E22" s="1">
        <f>Kabianga!C19*0.5</f>
        <v>17766.482945510197</v>
      </c>
      <c r="F22" s="1">
        <f>Kipsigis!B19*0.5</f>
        <v>11539.221914930213</v>
      </c>
      <c r="H22" s="1">
        <f t="shared" si="0"/>
        <v>56018.27328293561</v>
      </c>
    </row>
    <row r="23" spans="1:8">
      <c r="A23" s="1">
        <v>2043</v>
      </c>
      <c r="B23" s="1">
        <f>Eor!C20 * 0.5</f>
        <v>11843.5781969</v>
      </c>
      <c r="C23" s="1">
        <f>Lanyuak!E20 * 0.5</f>
        <v>11285.695973399999</v>
      </c>
      <c r="D23" s="1">
        <f>Mumberes!E20*0.5</f>
        <v>2540.2616700942003</v>
      </c>
      <c r="E23" s="1">
        <f>Kabianga!C20*0.5</f>
        <v>16751.626113774961</v>
      </c>
      <c r="F23" s="1">
        <f>Kipsigis!B20*0.5</f>
        <v>10886.279328631041</v>
      </c>
      <c r="H23" s="1">
        <f t="shared" si="0"/>
        <v>53307.441282800202</v>
      </c>
    </row>
    <row r="24" spans="1:8">
      <c r="A24" s="1">
        <v>2044</v>
      </c>
      <c r="B24" s="1">
        <f>Eor!C21 * 0.5</f>
        <v>11388.857311599999</v>
      </c>
      <c r="C24" s="1">
        <f>Lanyuak!E21 * 0.5</f>
        <v>10852.636086999999</v>
      </c>
      <c r="D24" s="1">
        <f>Mumberes!E21*0.5</f>
        <v>2428.8283035445002</v>
      </c>
      <c r="E24" s="1">
        <f>Kabianga!C21*0.5</f>
        <v>15797.685856665965</v>
      </c>
      <c r="F24" s="1">
        <f>Kipsigis!B21*0.5</f>
        <v>10272.06757492474</v>
      </c>
      <c r="H24" s="1">
        <f t="shared" si="0"/>
        <v>50740.075133735198</v>
      </c>
    </row>
    <row r="25" spans="1:8">
      <c r="A25" s="1">
        <v>2045</v>
      </c>
      <c r="B25" s="1">
        <f>Eor!C22 * 0.5</f>
        <v>10952.578935599999</v>
      </c>
      <c r="C25" s="1">
        <f>Lanyuak!E22 * 0.5</f>
        <v>10437.133427999999</v>
      </c>
      <c r="D25" s="1">
        <f>Mumberes!E22*0.5</f>
        <v>2322.6883229732002</v>
      </c>
      <c r="E25" s="1">
        <f>Kabianga!C22*0.5</f>
        <v>14900.156686660333</v>
      </c>
      <c r="F25" s="1">
        <f>Kipsigis!B22*0.5</f>
        <v>9693.746738468104</v>
      </c>
      <c r="H25" s="1">
        <f t="shared" si="0"/>
        <v>48306.30411170164</v>
      </c>
    </row>
    <row r="26" spans="1:8">
      <c r="A26" s="1">
        <v>2046</v>
      </c>
      <c r="B26" s="1">
        <f>Eor!C23 * 0.5</f>
        <v>10533.824431100002</v>
      </c>
      <c r="C26" s="1">
        <f>Lanyuak!E23 * 0.5</f>
        <v>10038.311328799999</v>
      </c>
      <c r="D26" s="1">
        <f>Mumberes!E23*0.5</f>
        <v>2221.5194936791995</v>
      </c>
      <c r="E26" s="1">
        <f>Kabianga!C23*0.5</f>
        <v>14055.200990021849</v>
      </c>
      <c r="F26" s="1">
        <f>Kipsigis!B23*0.5</f>
        <v>9148.9008393998174</v>
      </c>
      <c r="H26" s="1">
        <f t="shared" si="0"/>
        <v>45997.757083000863</v>
      </c>
    </row>
    <row r="27" spans="1:8">
      <c r="A27" s="1">
        <v>2047</v>
      </c>
      <c r="B27" s="1">
        <f>Eor!C24 * 0.5</f>
        <v>10131.775183899999</v>
      </c>
      <c r="C27" s="1">
        <f>Lanyuak!E24 * 0.5</f>
        <v>9655.3907096000003</v>
      </c>
      <c r="D27" s="1">
        <f>Mumberes!E24*0.5</f>
        <v>2125.0425840227999</v>
      </c>
      <c r="E27" s="1">
        <f>Kabianga!C24*0.5</f>
        <v>13259.426862837496</v>
      </c>
      <c r="F27" s="1">
        <f>Kipsigis!B24*0.5</f>
        <v>8635.3954914901096</v>
      </c>
      <c r="H27" s="1">
        <f t="shared" si="0"/>
        <v>43807.03083185041</v>
      </c>
    </row>
    <row r="28" spans="1:8">
      <c r="A28" s="1">
        <v>2048</v>
      </c>
      <c r="B28" s="1">
        <f>Eor!C25 * 0.5</f>
        <v>9745.6832104999994</v>
      </c>
      <c r="C28" s="1">
        <f>Lanyuak!E25 * 0.5</f>
        <v>9287.6622624000011</v>
      </c>
      <c r="D28" s="1">
        <f>Mumberes!E25*0.5</f>
        <v>2033.0053408235999</v>
      </c>
      <c r="E28" s="1">
        <f>Kabianga!C25*0.5</f>
        <v>12509.76435313305</v>
      </c>
      <c r="F28" s="1">
        <f>Kipsigis!B25*0.5</f>
        <v>8151.2987745436058</v>
      </c>
      <c r="H28" s="1">
        <f t="shared" si="0"/>
        <v>41727.413941400249</v>
      </c>
    </row>
    <row r="29" spans="1:8">
      <c r="A29" s="1">
        <v>2049</v>
      </c>
      <c r="B29" s="1">
        <f>Eor!C26 * 0.5</f>
        <v>9374.8584357999989</v>
      </c>
      <c r="C29" s="1">
        <f>Lanyuak!E26 * 0.5</f>
        <v>8934.4662844000013</v>
      </c>
      <c r="D29" s="1">
        <f>Mumberes!E26*0.5</f>
        <v>1945.1794757394996</v>
      </c>
      <c r="E29" s="1">
        <f>Kabianga!C26*0.5</f>
        <v>11803.394143548758</v>
      </c>
      <c r="F29" s="1">
        <f>Kipsigis!B26*0.5</f>
        <v>7694.835778274597</v>
      </c>
      <c r="H29" s="1">
        <f t="shared" si="0"/>
        <v>39752.734117762855</v>
      </c>
    </row>
    <row r="30" spans="1:8">
      <c r="A30" s="1">
        <v>2050</v>
      </c>
      <c r="B30" s="1">
        <f>Eor!C27 * 0.5</f>
        <v>9018.6450033000001</v>
      </c>
      <c r="C30" s="1">
        <f>Lanyuak!E27 * 0.5</f>
        <v>8595.1822470000006</v>
      </c>
      <c r="D30" s="1">
        <f>Mumberes!E27*0.5</f>
        <v>1861.3514278632001</v>
      </c>
      <c r="E30" s="1">
        <f>Kabianga!C27*0.5</f>
        <v>11137.704375373103</v>
      </c>
      <c r="F30" s="1">
        <f>Kipsigis!B27*0.5</f>
        <v>7264.3612019957291</v>
      </c>
      <c r="H30" s="1">
        <f t="shared" si="0"/>
        <v>37877.24425553203</v>
      </c>
    </row>
    <row r="31" spans="1:8">
      <c r="A31" s="1">
        <v>2051</v>
      </c>
      <c r="B31" s="1">
        <f>Eor!C28 * 0.5</f>
        <v>8676.4313652000001</v>
      </c>
      <c r="C31" s="1">
        <f>Lanyuak!E28 * 0.5</f>
        <v>8269.2218417999993</v>
      </c>
      <c r="D31" s="1">
        <f>Mumberes!E28*0.5</f>
        <v>1781.3218003060999</v>
      </c>
      <c r="E31" s="1">
        <f>Kabianga!C28*0.5</f>
        <v>10510.26275018114</v>
      </c>
      <c r="F31" s="1">
        <f>Kipsigis!B28*0.5</f>
        <v>6858.3417447061101</v>
      </c>
      <c r="H31" s="1">
        <f t="shared" si="0"/>
        <v>36095.579502193352</v>
      </c>
    </row>
    <row r="32" spans="1:8">
      <c r="A32" s="1">
        <v>2052</v>
      </c>
      <c r="B32" s="1">
        <f>Eor!C29 * 0.5</f>
        <v>8347.6261539000006</v>
      </c>
      <c r="C32" s="1">
        <f>Lanyuak!E29 * 0.5</f>
        <v>7956.0299077999998</v>
      </c>
      <c r="D32" s="1">
        <f>Mumberes!E29*0.5</f>
        <v>1704.903014815</v>
      </c>
      <c r="E32" s="1">
        <f>Kabianga!C29*0.5</f>
        <v>9918.7970831210605</v>
      </c>
      <c r="F32" s="1">
        <f>Kipsigis!B29*0.5</f>
        <v>6475.3439008420555</v>
      </c>
      <c r="H32" s="1">
        <f t="shared" si="0"/>
        <v>34402.700060478113</v>
      </c>
    </row>
    <row r="33" spans="1:8">
      <c r="A33" s="1">
        <v>2053</v>
      </c>
      <c r="B33" s="1">
        <f>Eor!C30 * 0.5</f>
        <v>8031.6748525999992</v>
      </c>
      <c r="C33" s="1">
        <f>Lanyuak!E30 * 0.5</f>
        <v>7655.0742321999996</v>
      </c>
      <c r="D33" s="1">
        <f>Mumberes!E30*0.5</f>
        <v>1631.9191938477998</v>
      </c>
      <c r="E33" s="1">
        <f>Kabianga!C30*0.5</f>
        <v>9361.1806717177169</v>
      </c>
      <c r="F33" s="1">
        <f>Kipsigis!B30*0.5</f>
        <v>6114.0248269224448</v>
      </c>
      <c r="H33" s="1">
        <f t="shared" si="0"/>
        <v>32793.873777287961</v>
      </c>
    </row>
    <row r="34" spans="1:8">
      <c r="A34" s="1">
        <v>2054</v>
      </c>
      <c r="B34" s="1">
        <f>Eor!C31 * 0.5</f>
        <v>7728.0457568999991</v>
      </c>
      <c r="C34" s="1">
        <f>Lanyuak!E31 * 0.5</f>
        <v>7365.8483320000014</v>
      </c>
      <c r="D34" s="1">
        <f>Mumberes!E31*0.5</f>
        <v>1562.2032517741002</v>
      </c>
      <c r="E34" s="1">
        <f>Kabianga!C31*0.5</f>
        <v>8835.4205307423181</v>
      </c>
      <c r="F34" s="1">
        <f>Kipsigis!B31*0.5</f>
        <v>5773.125028203619</v>
      </c>
      <c r="H34" s="1">
        <f t="shared" si="0"/>
        <v>31264.642899620037</v>
      </c>
    </row>
    <row r="35" spans="1:8">
      <c r="A35" s="1">
        <v>2055</v>
      </c>
      <c r="B35" s="1">
        <f>Eor!C32 * 0.5</f>
        <v>7436.2299747999996</v>
      </c>
      <c r="C35" s="1">
        <f>Lanyuak!E32 * 0.5</f>
        <v>7087.8707586</v>
      </c>
      <c r="D35" s="1">
        <f>Mumberes!E32*0.5</f>
        <v>1495.5987423559</v>
      </c>
      <c r="E35" s="1">
        <f>Kabianga!C32*0.5</f>
        <v>8339.6474368051367</v>
      </c>
      <c r="F35" s="1">
        <f>Kipsigis!B32*0.5</f>
        <v>5451.4621882562378</v>
      </c>
      <c r="H35" s="1">
        <f t="shared" si="0"/>
        <v>29810.809100817274</v>
      </c>
    </row>
    <row r="36" spans="1:8">
      <c r="A36" s="1">
        <v>2056</v>
      </c>
      <c r="B36" s="1">
        <f>Eor!C33 * 0.5</f>
        <v>7155.7444976000006</v>
      </c>
      <c r="C36" s="1">
        <f>Lanyuak!E33 * 0.5</f>
        <v>6820.6797664000005</v>
      </c>
      <c r="D36" s="1">
        <f>Mumberes!E33*0.5</f>
        <v>1431.9559410402999</v>
      </c>
      <c r="E36" s="1">
        <f>Kabianga!C33*0.5</f>
        <v>7872.1072003750023</v>
      </c>
      <c r="F36" s="1">
        <f>Kipsigis!B33*0.5</f>
        <v>5147.9257689168553</v>
      </c>
      <c r="H36" s="1">
        <f t="shared" si="0"/>
        <v>28428.41317433216</v>
      </c>
    </row>
    <row r="37" spans="1:8">
      <c r="A37" s="1">
        <v>2057</v>
      </c>
      <c r="B37" s="1">
        <f>Eor!C34 * 0.5</f>
        <v>6886.1264967999996</v>
      </c>
      <c r="C37" s="1">
        <f>Lanyuak!E34 * 0.5</f>
        <v>6563.8363262000003</v>
      </c>
      <c r="D37" s="1">
        <f>Mumberes!E34*0.5</f>
        <v>1371.1337448509998</v>
      </c>
      <c r="E37" s="1">
        <f>Kabianga!C34*0.5</f>
        <v>7431.1528354821794</v>
      </c>
      <c r="F37" s="1">
        <f>Kipsigis!B34*0.5</f>
        <v>4861.472170164936</v>
      </c>
      <c r="H37" s="1">
        <f t="shared" si="0"/>
        <v>27113.721573498115</v>
      </c>
    </row>
    <row r="38" spans="1:8">
      <c r="A38" s="1">
        <v>2058</v>
      </c>
      <c r="B38" s="1">
        <f>Eor!C35 * 0.5</f>
        <v>6626.9355176000008</v>
      </c>
      <c r="C38" s="1">
        <f>Lanyuak!E35 * 0.5</f>
        <v>6316.9185619999998</v>
      </c>
      <c r="D38" s="1">
        <f>Mumberes!E35*0.5</f>
        <v>1312.9994496424001</v>
      </c>
      <c r="E38" s="1">
        <f>Kabianga!C35*0.5</f>
        <v>7015.2374327279922</v>
      </c>
      <c r="F38" s="1">
        <f>Kipsigis!B35*0.5</f>
        <v>4591.1203263998177</v>
      </c>
      <c r="H38" s="1">
        <f t="shared" si="0"/>
        <v>25863.211288370214</v>
      </c>
    </row>
    <row r="39" spans="1:8">
      <c r="A39" s="1">
        <v>2059</v>
      </c>
      <c r="B39" s="1">
        <f>Eor!C36 * 0.5</f>
        <v>6377.7442662000003</v>
      </c>
      <c r="C39" s="1">
        <f>Lanyuak!E36 * 0.5</f>
        <v>6079.524069000001</v>
      </c>
      <c r="D39" s="1">
        <f>Mumberes!E36*0.5</f>
        <v>1257.4260116353003</v>
      </c>
      <c r="E39" s="1">
        <f>Kabianga!C36*0.5</f>
        <v>6622.907614661448</v>
      </c>
      <c r="F39" s="1">
        <f>Kipsigis!B36*0.5</f>
        <v>4335.9476626222977</v>
      </c>
      <c r="H39" s="1">
        <f t="shared" si="0"/>
        <v>24673.549624119049</v>
      </c>
    </row>
    <row r="40" spans="1:8">
      <c r="A40" s="1">
        <v>2060</v>
      </c>
      <c r="B40" s="1">
        <f>Eor!C37 * 0.5</f>
        <v>6138.1548416999995</v>
      </c>
      <c r="C40" s="1">
        <f>Lanyuak!E37 * 0.5</f>
        <v>5851.2696818000004</v>
      </c>
      <c r="D40" s="1">
        <f>Mumberes!E37*0.5</f>
        <v>1204.2938293840998</v>
      </c>
      <c r="E40" s="1">
        <f>Kabianga!C37*0.5</f>
        <v>6252.7974928714002</v>
      </c>
      <c r="F40" s="1">
        <f>Kipsigis!B37*0.5</f>
        <v>4095.0863598393371</v>
      </c>
      <c r="H40" s="1">
        <f t="shared" si="0"/>
        <v>23541.602205594838</v>
      </c>
    </row>
    <row r="41" spans="1:8">
      <c r="A41" s="1">
        <v>2061</v>
      </c>
      <c r="B41" s="1">
        <f>Eor!C38 * 0.5</f>
        <v>5907.7772397999997</v>
      </c>
      <c r="C41" s="1">
        <f>Lanyuak!E38 * 0.5</f>
        <v>5631.7875337999994</v>
      </c>
      <c r="D41" s="1">
        <f>Mumberes!E38*0.5</f>
        <v>1153.4886211394</v>
      </c>
      <c r="E41" s="1">
        <f>Kabianga!C38*0.5</f>
        <v>5903.6230690654102</v>
      </c>
      <c r="F41" s="1">
        <f>Kipsigis!B38*0.5</f>
        <v>3867.7198936383998</v>
      </c>
      <c r="H41" s="1">
        <f t="shared" si="0"/>
        <v>22464.396357443213</v>
      </c>
    </row>
    <row r="42" spans="1:8">
      <c r="A42" s="1">
        <v>2062</v>
      </c>
      <c r="B42" s="1">
        <f>Eor!C39 * 0.5</f>
        <v>5686.2411976999992</v>
      </c>
      <c r="C42" s="1">
        <f>Lanyuak!E39 * 0.5</f>
        <v>5420.7248254000006</v>
      </c>
      <c r="D42" s="1">
        <f>Mumberes!E39*0.5</f>
        <v>1104.9025516802001</v>
      </c>
      <c r="E42" s="1">
        <f>Kabianga!C39*0.5</f>
        <v>5574.177035783282</v>
      </c>
      <c r="F42" s="1">
        <f>Kipsigis!B39*0.5</f>
        <v>3653.0798183632642</v>
      </c>
      <c r="H42" s="1">
        <f t="shared" si="0"/>
        <v>21439.125428926745</v>
      </c>
    </row>
    <row r="43" spans="1:8">
      <c r="A43" s="1">
        <v>2063</v>
      </c>
      <c r="B43" s="1">
        <f>Eor!C40 * 0.5</f>
        <v>5473.1948780000002</v>
      </c>
      <c r="C43" s="1">
        <f>Lanyuak!E40 * 0.5</f>
        <v>5217.7466056000003</v>
      </c>
      <c r="D43" s="1">
        <f>Mumberes!E40*0.5</f>
        <v>1058.4336033843001</v>
      </c>
      <c r="E43" s="1">
        <f>Kabianga!C40*0.5</f>
        <v>5263.3239406504599</v>
      </c>
      <c r="F43" s="1">
        <f>Kipsigis!B40*0.5</f>
        <v>3450.4427745991438</v>
      </c>
      <c r="H43" s="1">
        <f t="shared" si="0"/>
        <v>20463.141802233902</v>
      </c>
    </row>
    <row r="44" spans="1:8">
      <c r="A44" s="1">
        <v>2064</v>
      </c>
      <c r="B44" s="1">
        <f>Eor!C41 * 0.5</f>
        <v>5268.3013590999999</v>
      </c>
      <c r="C44" s="1">
        <f>Lanyuak!E41 * 0.5</f>
        <v>5022.5278908</v>
      </c>
      <c r="D44" s="1">
        <f>Mumberes!E41*0.5</f>
        <v>1013.9834535909001</v>
      </c>
      <c r="E44" s="1">
        <f>Kabianga!C41*0.5</f>
        <v>4969.9956836370629</v>
      </c>
      <c r="F44" s="1">
        <f>Kipsigis!B41*0.5</f>
        <v>3259.1277011353677</v>
      </c>
      <c r="H44" s="1">
        <f t="shared" si="0"/>
        <v>19533.93608826333</v>
      </c>
    </row>
    <row r="45" spans="1:8">
      <c r="A45" s="1">
        <v>2065</v>
      </c>
      <c r="B45" s="1">
        <f>Eor!C42 * 0.5</f>
        <v>5071.2324933999998</v>
      </c>
      <c r="C45" s="1">
        <f>Lanyuak!E42 * 0.5</f>
        <v>4834.7638640000005</v>
      </c>
      <c r="D45" s="1">
        <f>Mumberes!E42*0.5</f>
        <v>971.46106474039993</v>
      </c>
      <c r="E45" s="1">
        <f>Kabianga!C42*0.5</f>
        <v>4693.1873205393395</v>
      </c>
      <c r="F45" s="1">
        <f>Kipsigis!B42*0.5</f>
        <v>3078.4932349394576</v>
      </c>
      <c r="H45" s="1">
        <f t="shared" si="0"/>
        <v>18649.137977619197</v>
      </c>
    </row>
    <row r="47" spans="1:8">
      <c r="G47" s="1" t="s">
        <v>21</v>
      </c>
      <c r="H47" s="1">
        <f>SUM(H6:H45)</f>
        <v>3543669.9909584285</v>
      </c>
    </row>
    <row r="48" spans="1:8">
      <c r="G48" s="1" t="s">
        <v>20</v>
      </c>
      <c r="H48" s="1">
        <f>H47/40</f>
        <v>88591.749773960706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AE5B-3D09-7B43-B8F9-21D8EE6819FF}">
  <dimension ref="A1:G42"/>
  <sheetViews>
    <sheetView zoomScale="226" workbookViewId="0">
      <selection activeCell="C9" sqref="C9"/>
    </sheetView>
  </sheetViews>
  <sheetFormatPr baseColWidth="10" defaultRowHeight="16"/>
  <cols>
    <col min="1" max="2" width="11" style="1" bestFit="1" customWidth="1"/>
    <col min="3" max="3" width="11.5" style="1" bestFit="1" customWidth="1"/>
    <col min="4" max="6" width="10.83203125" style="1"/>
    <col min="7" max="7" width="11" style="1" bestFit="1" customWidth="1"/>
    <col min="8" max="16384" width="10.83203125" style="1"/>
  </cols>
  <sheetData>
    <row r="1" spans="1:7">
      <c r="A1" s="2" t="s">
        <v>0</v>
      </c>
      <c r="B1" s="3" t="s">
        <v>1</v>
      </c>
      <c r="C1" s="4" t="s">
        <v>2</v>
      </c>
    </row>
    <row r="2" spans="1:7">
      <c r="A2" s="5"/>
      <c r="B2" s="5"/>
      <c r="G2" s="1" t="s">
        <v>9</v>
      </c>
    </row>
    <row r="3" spans="1:7">
      <c r="A3" s="5">
        <v>47.510150000000003</v>
      </c>
      <c r="B3" s="5">
        <v>50.02187</v>
      </c>
      <c r="C3" s="1">
        <f>A3*0.4*$G$3 + B3*0.6*$G$3</f>
        <v>215038.37743400002</v>
      </c>
      <c r="G3" s="6">
        <v>4387</v>
      </c>
    </row>
    <row r="4" spans="1:7">
      <c r="A4" s="5">
        <v>26.930399999999999</v>
      </c>
      <c r="B4" s="5">
        <v>28.359539999999999</v>
      </c>
      <c r="C4" s="1">
        <f>A4*0.4*$G$3 + B4*0.6*$G$3</f>
        <v>121905.44710799999</v>
      </c>
    </row>
    <row r="5" spans="1:7">
      <c r="A5" s="5">
        <v>18.402439999999999</v>
      </c>
      <c r="B5" s="5">
        <v>19.387350000000001</v>
      </c>
      <c r="C5" s="1">
        <f>A5*0.4*$G$3 + B5*0.6*$G$3</f>
        <v>83323.984381999995</v>
      </c>
    </row>
    <row r="6" spans="1:7">
      <c r="A6" s="5">
        <v>13.79119</v>
      </c>
      <c r="B6" s="5">
        <v>14.539239999999999</v>
      </c>
      <c r="C6" s="1">
        <f>A6*0.4*$G$3 + B6*0.6*$G$3</f>
        <v>62470.96774</v>
      </c>
    </row>
    <row r="7" spans="1:7">
      <c r="A7" s="5">
        <v>11.211029999999999</v>
      </c>
      <c r="B7" s="5">
        <v>11.82938</v>
      </c>
      <c r="C7" s="1">
        <f>A7*0.4*$G$3 + B7*0.6*$G$3</f>
        <v>50810.409480000002</v>
      </c>
    </row>
    <row r="8" spans="1:7">
      <c r="A8" s="5">
        <v>9.6973249999999993</v>
      </c>
      <c r="B8" s="5">
        <v>10.241949999999999</v>
      </c>
      <c r="C8" s="1">
        <f>A8*0.4*$G$3 + B8*0.6*$G$3</f>
        <v>43975.726699999999</v>
      </c>
    </row>
    <row r="9" spans="1:7">
      <c r="A9" s="5">
        <v>8.7495619999999992</v>
      </c>
      <c r="B9" s="5">
        <v>9.2498970000000007</v>
      </c>
      <c r="C9" s="1">
        <f>A9*0.4*$G$3 + B9*0.6*$G$3</f>
        <v>39701.310280999998</v>
      </c>
    </row>
    <row r="10" spans="1:7">
      <c r="A10" s="5">
        <v>8.1058140000000005</v>
      </c>
      <c r="B10" s="5">
        <v>8.5774629999999998</v>
      </c>
      <c r="C10" s="1">
        <f>A10*0.4*$G$3 + B10*0.6*$G$3</f>
        <v>36801.680515799999</v>
      </c>
    </row>
    <row r="11" spans="1:7">
      <c r="A11" s="5">
        <v>7.6282769999999998</v>
      </c>
      <c r="B11" s="5">
        <v>8.0795779999999997</v>
      </c>
      <c r="C11" s="1">
        <f>A11*0.4*$G$3 + B11*0.6*$G$3</f>
        <v>34653.165691199996</v>
      </c>
    </row>
    <row r="12" spans="1:7">
      <c r="A12" s="5">
        <v>7.2441420000000001</v>
      </c>
      <c r="B12" s="5">
        <v>7.6796139999999999</v>
      </c>
      <c r="C12" s="1">
        <f>A12*0.4*$G$3 + B12*0.6*$G$3</f>
        <v>32926.300352399994</v>
      </c>
    </row>
    <row r="13" spans="1:7">
      <c r="A13" s="5">
        <v>6.914771</v>
      </c>
      <c r="B13" s="5">
        <v>7.3369179999999998</v>
      </c>
      <c r="C13" s="1">
        <f>A13*0.4*$G$3 + B13*0.6*$G$3</f>
        <v>31446.275710399997</v>
      </c>
    </row>
    <row r="14" spans="1:7">
      <c r="A14" s="5">
        <v>6.6195370000000002</v>
      </c>
      <c r="B14" s="5">
        <v>7.0297980000000004</v>
      </c>
      <c r="C14" s="1">
        <f>A14*0.4*$G$3 + B14*0.6*$G$3</f>
        <v>30119.797823200002</v>
      </c>
    </row>
    <row r="15" spans="1:7">
      <c r="A15" s="5">
        <v>6.3473170000000003</v>
      </c>
      <c r="B15" s="5">
        <v>6.7465700000000002</v>
      </c>
      <c r="C15" s="1">
        <f>A15*0.4*$G$3 + B15*0.6*$G$3</f>
        <v>28896.5934256</v>
      </c>
    </row>
    <row r="16" spans="1:7">
      <c r="A16" s="5">
        <v>6.0920189999999996</v>
      </c>
      <c r="B16" s="5">
        <v>6.4808380000000003</v>
      </c>
      <c r="C16" s="1">
        <f>A16*0.4*$G$3 + B16*0.6*$G$3</f>
        <v>27749.136724800002</v>
      </c>
    </row>
    <row r="17" spans="1:3">
      <c r="A17" s="5">
        <v>5.8502130000000001</v>
      </c>
      <c r="B17" s="5">
        <v>6.229012</v>
      </c>
      <c r="C17" s="1">
        <f>A17*0.4*$G$3 + B17*0.6*$G$3</f>
        <v>26661.959158800004</v>
      </c>
    </row>
    <row r="18" spans="1:3">
      <c r="A18" s="5">
        <v>5.6198889999999997</v>
      </c>
      <c r="B18" s="5">
        <v>5.9889950000000001</v>
      </c>
      <c r="C18" s="1">
        <f>A18*0.4*$G$3 + B18*0.6*$G$3</f>
        <v>25626.013856199999</v>
      </c>
    </row>
    <row r="19" spans="1:3">
      <c r="A19" s="5">
        <v>5.3997950000000001</v>
      </c>
      <c r="B19" s="5">
        <v>5.7594830000000004</v>
      </c>
      <c r="C19" s="1">
        <f>A19*0.4*$G$3 + B19*0.6*$G$3</f>
        <v>24635.671418600003</v>
      </c>
    </row>
    <row r="20" spans="1:3">
      <c r="A20" s="5">
        <v>5.1890859999999996</v>
      </c>
      <c r="B20" s="5">
        <v>5.5396049999999999</v>
      </c>
      <c r="C20" s="1">
        <f>A20*0.4*$G$3 + B20*0.6*$G$3</f>
        <v>23687.1563938</v>
      </c>
    </row>
    <row r="21" spans="1:3">
      <c r="A21" s="5">
        <v>4.9871449999999999</v>
      </c>
      <c r="B21" s="5">
        <v>5.3287259999999996</v>
      </c>
      <c r="C21" s="1">
        <f>A21*0.4*$G$3 + B21*0.6*$G$3</f>
        <v>22777.714623199998</v>
      </c>
    </row>
    <row r="22" spans="1:3">
      <c r="A22" s="5">
        <v>4.7934809999999999</v>
      </c>
      <c r="B22" s="5">
        <v>5.1263420000000002</v>
      </c>
      <c r="C22" s="1">
        <f>A22*0.4*$G$3 + B22*0.6*$G$3</f>
        <v>21905.157871199997</v>
      </c>
    </row>
    <row r="23" spans="1:3">
      <c r="A23" s="5">
        <v>4.6076800000000002</v>
      </c>
      <c r="B23" s="5">
        <v>4.9320310000000003</v>
      </c>
      <c r="C23" s="1">
        <f>A23*0.4*$G$3 + B23*0.6*$G$3</f>
        <v>21067.648862200003</v>
      </c>
    </row>
    <row r="24" spans="1:3">
      <c r="A24" s="5">
        <v>4.429373</v>
      </c>
      <c r="B24" s="5">
        <v>4.7454169999999998</v>
      </c>
      <c r="C24" s="1">
        <f>A24*0.4*$G$3 + B24*0.6*$G$3</f>
        <v>20263.550367799999</v>
      </c>
    </row>
    <row r="25" spans="1:3">
      <c r="A25" s="5">
        <v>4.258222</v>
      </c>
      <c r="B25" s="5">
        <v>4.5661569999999996</v>
      </c>
      <c r="C25" s="1">
        <f>A25*0.4*$G$3 + B25*0.6*$G$3</f>
        <v>19491.366420999999</v>
      </c>
    </row>
    <row r="26" spans="1:3">
      <c r="A26" s="5">
        <v>4.0939160000000001</v>
      </c>
      <c r="B26" s="5">
        <v>4.3939339999999998</v>
      </c>
      <c r="C26" s="1">
        <f>A26*0.4*$G$3 + B26*0.6*$G$3</f>
        <v>18749.716871599998</v>
      </c>
    </row>
    <row r="27" spans="1:3">
      <c r="A27" s="5">
        <v>3.936159</v>
      </c>
      <c r="B27" s="5">
        <v>4.2284470000000001</v>
      </c>
      <c r="C27" s="1">
        <f>A27*0.4*$G$3 + B27*0.6*$G$3</f>
        <v>18037.2900066</v>
      </c>
    </row>
    <row r="28" spans="1:3">
      <c r="A28" s="5">
        <v>3.7846739999999999</v>
      </c>
      <c r="B28" s="5">
        <v>4.0694160000000004</v>
      </c>
      <c r="C28" s="1">
        <f>A28*0.4*$G$3 + B28*0.6*$G$3</f>
        <v>17352.8627304</v>
      </c>
    </row>
    <row r="29" spans="1:3">
      <c r="A29" s="5">
        <v>3.639195</v>
      </c>
      <c r="B29" s="5">
        <v>3.916569</v>
      </c>
      <c r="C29" s="1">
        <f>A29*0.4*$G$3 + B29*0.6*$G$3</f>
        <v>16695.252307800001</v>
      </c>
    </row>
    <row r="30" spans="1:3">
      <c r="A30" s="5">
        <v>3.4994710000000002</v>
      </c>
      <c r="B30" s="5">
        <v>3.7696519999999998</v>
      </c>
      <c r="C30" s="1">
        <f>A30*0.4*$G$3 + B30*0.6*$G$3</f>
        <v>16063.349705199998</v>
      </c>
    </row>
    <row r="31" spans="1:3">
      <c r="A31" s="5">
        <v>3.365262</v>
      </c>
      <c r="B31" s="5">
        <v>3.6284209999999999</v>
      </c>
      <c r="C31" s="1">
        <f>A31*0.4*$G$3 + B31*0.6*$G$3</f>
        <v>15456.091513799998</v>
      </c>
    </row>
    <row r="32" spans="1:3">
      <c r="A32" s="5">
        <v>3.2363390000000001</v>
      </c>
      <c r="B32" s="5">
        <v>3.492642</v>
      </c>
      <c r="C32" s="1">
        <f>A32*0.4*$G$3 + B32*0.6*$G$3</f>
        <v>14872.459949599999</v>
      </c>
    </row>
    <row r="33" spans="1:3">
      <c r="A33" s="5">
        <v>3.1124830000000001</v>
      </c>
      <c r="B33" s="5">
        <v>3.3620939999999999</v>
      </c>
      <c r="C33" s="1">
        <f>A33*0.4*$G$3 + B33*0.6*$G$3</f>
        <v>14311.488995200001</v>
      </c>
    </row>
    <row r="34" spans="1:3">
      <c r="A34" s="5">
        <v>2.9934859999999999</v>
      </c>
      <c r="B34" s="5">
        <v>3.236564</v>
      </c>
      <c r="C34" s="1">
        <f>A34*0.4*$G$3 + B34*0.6*$G$3</f>
        <v>13772.252993599999</v>
      </c>
    </row>
    <row r="35" spans="1:3">
      <c r="A35" s="5">
        <v>2.879149</v>
      </c>
      <c r="B35" s="5">
        <v>3.11585</v>
      </c>
      <c r="C35" s="1">
        <f>A35*0.4*$G$3 + B35*0.6*$G$3</f>
        <v>13253.871035200002</v>
      </c>
    </row>
    <row r="36" spans="1:3">
      <c r="A36" s="5">
        <v>2.769279</v>
      </c>
      <c r="B36" s="5">
        <v>2.9997560000000001</v>
      </c>
      <c r="C36" s="1">
        <f>A36*0.4*$G$3 + B36*0.6*$G$3</f>
        <v>12755.488532400001</v>
      </c>
    </row>
    <row r="37" spans="1:3">
      <c r="A37" s="5">
        <v>2.663697</v>
      </c>
      <c r="B37" s="5">
        <v>2.888099</v>
      </c>
      <c r="C37" s="1">
        <f>A37*0.4*$G$3 + B37*0.6*$G$3</f>
        <v>12276.309683399999</v>
      </c>
    </row>
    <row r="38" spans="1:3">
      <c r="A38" s="5">
        <v>2.562227</v>
      </c>
      <c r="B38" s="5">
        <v>2.7806999999999999</v>
      </c>
      <c r="C38" s="1">
        <f>A38*0.4*$G$3 + B38*0.6*$G$3</f>
        <v>11815.554479599999</v>
      </c>
    </row>
    <row r="39" spans="1:3">
      <c r="A39" s="5">
        <v>2.4647019999999999</v>
      </c>
      <c r="B39" s="5">
        <v>2.6773889999999998</v>
      </c>
      <c r="C39" s="1">
        <f>A39*0.4*$G$3 + B39*0.6*$G$3</f>
        <v>11372.482395399998</v>
      </c>
    </row>
    <row r="40" spans="1:3">
      <c r="A40" s="5">
        <v>2.3709639999999998</v>
      </c>
      <c r="B40" s="5">
        <v>2.578004</v>
      </c>
      <c r="C40" s="1">
        <f>A40*0.4*$G$3 + B40*0.6*$G$3</f>
        <v>10946.389756</v>
      </c>
    </row>
    <row r="41" spans="1:3">
      <c r="A41" s="5">
        <v>2.2808600000000001</v>
      </c>
      <c r="B41" s="5">
        <v>2.4823909999999998</v>
      </c>
      <c r="C41" s="1">
        <f>A41*0.4*$G$3 + B41*0.6*$G$3</f>
        <v>10536.6027182</v>
      </c>
    </row>
    <row r="42" spans="1:3">
      <c r="A42" s="5">
        <v>2.1942439999999999</v>
      </c>
      <c r="B42" s="5">
        <v>2.3903979999999998</v>
      </c>
      <c r="C42" s="1">
        <f>A42*0.4*$G$3 + B42*0.6*$G$3</f>
        <v>10142.4649868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8AA5-7D0F-844D-A4B9-F3670363D091}">
  <dimension ref="A1:G42"/>
  <sheetViews>
    <sheetView zoomScale="249" workbookViewId="0">
      <selection sqref="A1:XFD1048576"/>
    </sheetView>
  </sheetViews>
  <sheetFormatPr baseColWidth="10" defaultRowHeight="16"/>
  <cols>
    <col min="1" max="4" width="11" style="1" bestFit="1" customWidth="1"/>
    <col min="5" max="5" width="11.5" style="1" bestFit="1" customWidth="1"/>
    <col min="6" max="6" width="10.83203125" style="1"/>
    <col min="7" max="7" width="11" style="1" bestFit="1" customWidth="1"/>
    <col min="8" max="16384" width="10.83203125" style="1"/>
  </cols>
  <sheetData>
    <row r="1" spans="1:7">
      <c r="A1" s="2" t="s">
        <v>0</v>
      </c>
      <c r="B1" s="3" t="s">
        <v>3</v>
      </c>
      <c r="C1" s="3" t="s">
        <v>4</v>
      </c>
      <c r="D1" s="3" t="s">
        <v>1</v>
      </c>
      <c r="E1" s="4" t="s">
        <v>2</v>
      </c>
    </row>
    <row r="2" spans="1:7">
      <c r="A2" s="5"/>
      <c r="B2" s="5"/>
      <c r="C2" s="5"/>
      <c r="D2" s="5"/>
      <c r="G2" s="1" t="s">
        <v>9</v>
      </c>
    </row>
    <row r="3" spans="1:7">
      <c r="A3" s="5">
        <v>49.955860000000001</v>
      </c>
      <c r="B3" s="5">
        <v>50.042589999999997</v>
      </c>
      <c r="C3" s="5">
        <v>50.042589999999997</v>
      </c>
      <c r="D3" s="5">
        <v>47.949440000000003</v>
      </c>
      <c r="E3" s="1">
        <f>A3*0.2*$G$3 + B3*0.15*$G$3 + C3*0.15*$G$3 + D3*0.4*$G$3</f>
        <v>204835.74910000002</v>
      </c>
      <c r="G3" s="1">
        <v>4636</v>
      </c>
    </row>
    <row r="4" spans="1:7">
      <c r="A4" s="5">
        <v>28.32197</v>
      </c>
      <c r="B4" s="5">
        <v>28.37133</v>
      </c>
      <c r="C4" s="5">
        <v>28.37133</v>
      </c>
      <c r="D4" s="5">
        <v>27.180309999999999</v>
      </c>
      <c r="E4" s="1">
        <f t="shared" ref="E4:E42" si="0">A4*0.2*$G$3 + B4*0.15*$G$3 + C4*0.15*$G$3 + D4*0.4*$G$3</f>
        <v>116122.143212</v>
      </c>
    </row>
    <row r="5" spans="1:7">
      <c r="A5" s="5">
        <v>19.361450000000001</v>
      </c>
      <c r="B5" s="5">
        <v>19.395479999999999</v>
      </c>
      <c r="C5" s="5">
        <v>19.395479999999999</v>
      </c>
      <c r="D5" s="5">
        <v>18.5746</v>
      </c>
      <c r="E5" s="1">
        <f t="shared" si="0"/>
        <v>79371.908263999998</v>
      </c>
    </row>
    <row r="6" spans="1:7">
      <c r="A6" s="5">
        <v>14.519550000000001</v>
      </c>
      <c r="B6" s="5">
        <v>14.54541</v>
      </c>
      <c r="C6" s="5">
        <v>14.54541</v>
      </c>
      <c r="D6" s="5">
        <v>13.92187</v>
      </c>
      <c r="E6" s="1">
        <f t="shared" si="0"/>
        <v>59508.998716000002</v>
      </c>
    </row>
    <row r="7" spans="1:7">
      <c r="A7" s="5">
        <v>11.813090000000001</v>
      </c>
      <c r="B7" s="5">
        <v>11.834490000000001</v>
      </c>
      <c r="C7" s="5">
        <v>11.834490000000001</v>
      </c>
      <c r="D7" s="5">
        <v>11.31898</v>
      </c>
      <c r="E7" s="1">
        <f t="shared" si="0"/>
        <v>48402.422252000004</v>
      </c>
    </row>
    <row r="8" spans="1:7">
      <c r="A8" s="5">
        <v>10.227589999999999</v>
      </c>
      <c r="B8" s="5">
        <v>10.246449999999999</v>
      </c>
      <c r="C8" s="5">
        <v>10.246449999999999</v>
      </c>
      <c r="D8" s="5">
        <v>9.7923369999999998</v>
      </c>
      <c r="E8" s="1">
        <f t="shared" si="0"/>
        <v>41892.693840799999</v>
      </c>
    </row>
    <row r="9" spans="1:7">
      <c r="A9" s="5">
        <v>9.2366960000000002</v>
      </c>
      <c r="B9" s="5">
        <v>9.2540399999999998</v>
      </c>
      <c r="C9" s="5">
        <v>9.2540399999999998</v>
      </c>
      <c r="D9" s="5">
        <v>8.8367819999999995</v>
      </c>
      <c r="E9" s="1">
        <f t="shared" si="0"/>
        <v>37821.711903999996</v>
      </c>
    </row>
    <row r="10" spans="1:7">
      <c r="A10" s="5">
        <v>8.5650089999999999</v>
      </c>
      <c r="B10" s="5">
        <v>8.5813729999999993</v>
      </c>
      <c r="C10" s="5">
        <v>8.5813729999999993</v>
      </c>
      <c r="D10" s="5">
        <v>8.1879740000000005</v>
      </c>
      <c r="E10" s="1">
        <f t="shared" si="0"/>
        <v>35060.2288988</v>
      </c>
    </row>
    <row r="11" spans="1:7">
      <c r="A11" s="5">
        <v>8.0676509999999997</v>
      </c>
      <c r="B11" s="5">
        <v>8.0833220000000008</v>
      </c>
      <c r="C11" s="5">
        <v>8.0833220000000008</v>
      </c>
      <c r="D11" s="5">
        <v>7.7068380000000003</v>
      </c>
      <c r="E11" s="1">
        <f t="shared" si="0"/>
        <v>33014.170632000001</v>
      </c>
    </row>
    <row r="12" spans="1:7">
      <c r="A12" s="5">
        <v>7.6680960000000002</v>
      </c>
      <c r="B12" s="5">
        <v>7.6832289999999999</v>
      </c>
      <c r="C12" s="5">
        <v>7.6832289999999999</v>
      </c>
      <c r="D12" s="5">
        <v>7.3198970000000001</v>
      </c>
      <c r="E12" s="1">
        <f t="shared" si="0"/>
        <v>31369.710501200003</v>
      </c>
    </row>
    <row r="13" spans="1:7">
      <c r="A13" s="5">
        <v>7.3257440000000003</v>
      </c>
      <c r="B13" s="5">
        <v>7.3404259999999999</v>
      </c>
      <c r="C13" s="5">
        <v>7.3404259999999999</v>
      </c>
      <c r="D13" s="5">
        <v>6.9881609999999998</v>
      </c>
      <c r="E13" s="1">
        <f t="shared" si="0"/>
        <v>29960.340076</v>
      </c>
    </row>
    <row r="14" spans="1:7">
      <c r="A14" s="5">
        <v>7.0189310000000003</v>
      </c>
      <c r="B14" s="5">
        <v>7.0332100000000004</v>
      </c>
      <c r="C14" s="5">
        <v>7.0332100000000004</v>
      </c>
      <c r="D14" s="5">
        <v>6.6908159999999999</v>
      </c>
      <c r="E14" s="1">
        <f t="shared" si="0"/>
        <v>28697.190481600002</v>
      </c>
    </row>
    <row r="15" spans="1:7">
      <c r="A15" s="5">
        <v>6.7359859999999996</v>
      </c>
      <c r="B15" s="5">
        <v>6.749892</v>
      </c>
      <c r="C15" s="5">
        <v>6.749892</v>
      </c>
      <c r="D15" s="5">
        <v>6.4166400000000001</v>
      </c>
      <c r="E15" s="1">
        <f t="shared" si="0"/>
        <v>27532.373228800003</v>
      </c>
    </row>
    <row r="16" spans="1:7">
      <c r="A16" s="5">
        <v>6.4705240000000002</v>
      </c>
      <c r="B16" s="5">
        <v>6.484076</v>
      </c>
      <c r="C16" s="5">
        <v>6.484076</v>
      </c>
      <c r="D16" s="5">
        <v>6.1594889999999998</v>
      </c>
      <c r="E16" s="1">
        <f t="shared" si="0"/>
        <v>26439.679155200003</v>
      </c>
    </row>
    <row r="17" spans="1:5">
      <c r="A17" s="5">
        <v>6.2189569999999996</v>
      </c>
      <c r="B17" s="5">
        <v>6.2321689999999998</v>
      </c>
      <c r="C17" s="5">
        <v>6.2321689999999998</v>
      </c>
      <c r="D17" s="5">
        <v>5.9159040000000003</v>
      </c>
      <c r="E17" s="1">
        <f t="shared" si="0"/>
        <v>25404.369953200003</v>
      </c>
    </row>
    <row r="18" spans="1:5">
      <c r="A18" s="5">
        <v>5.97919</v>
      </c>
      <c r="B18" s="5">
        <v>5.9920730000000004</v>
      </c>
      <c r="C18" s="5">
        <v>5.9920730000000004</v>
      </c>
      <c r="D18" s="5">
        <v>5.6838610000000003</v>
      </c>
      <c r="E18" s="1">
        <f t="shared" si="0"/>
        <v>24417.8319348</v>
      </c>
    </row>
    <row r="19" spans="1:5">
      <c r="A19" s="5">
        <v>5.7499209999999996</v>
      </c>
      <c r="B19" s="5">
        <v>5.7624849999999999</v>
      </c>
      <c r="C19" s="5">
        <v>5.7624849999999999</v>
      </c>
      <c r="D19" s="5">
        <v>5.4620959999999998</v>
      </c>
      <c r="E19" s="1">
        <f t="shared" si="0"/>
        <v>23474.701711599999</v>
      </c>
    </row>
    <row r="20" spans="1:5">
      <c r="A20" s="5">
        <v>5.5302809999999996</v>
      </c>
      <c r="B20" s="5">
        <v>5.5425329999999997</v>
      </c>
      <c r="C20" s="5">
        <v>5.5425329999999997</v>
      </c>
      <c r="D20" s="5">
        <v>5.2497629999999997</v>
      </c>
      <c r="E20" s="1">
        <f t="shared" si="0"/>
        <v>22571.391946799999</v>
      </c>
    </row>
    <row r="21" spans="1:5">
      <c r="A21" s="5">
        <v>5.3196329999999996</v>
      </c>
      <c r="B21" s="5">
        <v>5.3315809999999999</v>
      </c>
      <c r="C21" s="5">
        <v>5.3315809999999999</v>
      </c>
      <c r="D21" s="5">
        <v>5.0462389999999999</v>
      </c>
      <c r="E21" s="1">
        <f t="shared" si="0"/>
        <v>21705.272173999998</v>
      </c>
    </row>
    <row r="22" spans="1:5">
      <c r="A22" s="5">
        <v>5.1174749999999998</v>
      </c>
      <c r="B22" s="5">
        <v>5.1291260000000003</v>
      </c>
      <c r="C22" s="5">
        <v>5.1291260000000003</v>
      </c>
      <c r="D22" s="5">
        <v>4.8510330000000002</v>
      </c>
      <c r="E22" s="1">
        <f t="shared" si="0"/>
        <v>20874.266855999998</v>
      </c>
    </row>
    <row r="23" spans="1:5">
      <c r="A23" s="5">
        <v>4.9233849999999997</v>
      </c>
      <c r="B23" s="5">
        <v>4.9347459999999996</v>
      </c>
      <c r="C23" s="5">
        <v>4.9347459999999996</v>
      </c>
      <c r="D23" s="5">
        <v>4.6637269999999997</v>
      </c>
      <c r="E23" s="1">
        <f t="shared" si="0"/>
        <v>20076.622657599997</v>
      </c>
    </row>
    <row r="24" spans="1:5">
      <c r="A24" s="5">
        <v>4.7369859999999999</v>
      </c>
      <c r="B24" s="5">
        <v>4.7480640000000003</v>
      </c>
      <c r="C24" s="5">
        <v>4.7480640000000003</v>
      </c>
      <c r="D24" s="5">
        <v>4.4839520000000004</v>
      </c>
      <c r="E24" s="1">
        <f t="shared" si="0"/>
        <v>19310.781419200001</v>
      </c>
    </row>
    <row r="25" spans="1:5">
      <c r="A25" s="5">
        <v>4.5579369999999999</v>
      </c>
      <c r="B25" s="5">
        <v>4.5687379999999997</v>
      </c>
      <c r="C25" s="5">
        <v>4.5687379999999997</v>
      </c>
      <c r="D25" s="5">
        <v>4.3113700000000001</v>
      </c>
      <c r="E25" s="1">
        <f t="shared" si="0"/>
        <v>18575.324524800002</v>
      </c>
    </row>
    <row r="26" spans="1:5">
      <c r="A26" s="5">
        <v>4.3859199999999996</v>
      </c>
      <c r="B26" s="5">
        <v>4.3964499999999997</v>
      </c>
      <c r="C26" s="5">
        <v>4.3964499999999997</v>
      </c>
      <c r="D26" s="5">
        <v>4.1456670000000004</v>
      </c>
      <c r="E26" s="1">
        <f t="shared" si="0"/>
        <v>17868.932568800003</v>
      </c>
    </row>
    <row r="27" spans="1:5">
      <c r="A27" s="5">
        <v>4.2206349999999997</v>
      </c>
      <c r="B27" s="5">
        <v>4.2309010000000002</v>
      </c>
      <c r="C27" s="5">
        <v>4.2309010000000002</v>
      </c>
      <c r="D27" s="5">
        <v>3.986548</v>
      </c>
      <c r="E27" s="1">
        <f t="shared" si="0"/>
        <v>17190.364494000001</v>
      </c>
    </row>
    <row r="28" spans="1:5">
      <c r="A28" s="5">
        <v>4.0617989999999997</v>
      </c>
      <c r="B28" s="5">
        <v>4.0718069999999997</v>
      </c>
      <c r="C28" s="5">
        <v>4.0718069999999997</v>
      </c>
      <c r="D28" s="5">
        <v>3.8337330000000001</v>
      </c>
      <c r="E28" s="1">
        <f t="shared" si="0"/>
        <v>16538.443683599999</v>
      </c>
    </row>
    <row r="29" spans="1:5">
      <c r="A29" s="5">
        <v>3.9091450000000001</v>
      </c>
      <c r="B29" s="5">
        <v>3.918901</v>
      </c>
      <c r="C29" s="5">
        <v>3.918901</v>
      </c>
      <c r="D29" s="5">
        <v>3.686957</v>
      </c>
      <c r="E29" s="1">
        <f t="shared" si="0"/>
        <v>15912.0598156</v>
      </c>
    </row>
    <row r="30" spans="1:5">
      <c r="A30" s="5">
        <v>3.762416</v>
      </c>
      <c r="B30" s="5">
        <v>3.771925</v>
      </c>
      <c r="C30" s="5">
        <v>3.771925</v>
      </c>
      <c r="D30" s="5">
        <v>3.5459679999999998</v>
      </c>
      <c r="E30" s="1">
        <f t="shared" si="0"/>
        <v>15310.148464399999</v>
      </c>
    </row>
    <row r="31" spans="1:5">
      <c r="A31" s="5">
        <v>3.6213679999999999</v>
      </c>
      <c r="B31" s="5">
        <v>3.630636</v>
      </c>
      <c r="C31" s="5">
        <v>3.630636</v>
      </c>
      <c r="D31" s="5">
        <v>3.4105240000000001</v>
      </c>
      <c r="E31" s="1">
        <f t="shared" si="0"/>
        <v>14731.696664000003</v>
      </c>
    </row>
    <row r="32" spans="1:5">
      <c r="A32" s="5">
        <v>3.4857680000000002</v>
      </c>
      <c r="B32" s="5">
        <v>3.4948009999999998</v>
      </c>
      <c r="C32" s="5">
        <v>3.4948009999999998</v>
      </c>
      <c r="D32" s="5">
        <v>3.2803969999999998</v>
      </c>
      <c r="E32" s="1">
        <f t="shared" si="0"/>
        <v>14175.7415172</v>
      </c>
    </row>
    <row r="33" spans="1:5">
      <c r="A33" s="5">
        <v>3.3553950000000001</v>
      </c>
      <c r="B33" s="5">
        <v>3.364198</v>
      </c>
      <c r="C33" s="5">
        <v>3.364198</v>
      </c>
      <c r="D33" s="5">
        <v>3.1553659999999999</v>
      </c>
      <c r="E33" s="1">
        <f t="shared" si="0"/>
        <v>13641.359532800001</v>
      </c>
    </row>
    <row r="34" spans="1:5">
      <c r="A34" s="5">
        <v>3.2300360000000001</v>
      </c>
      <c r="B34" s="5">
        <v>3.2386149999999998</v>
      </c>
      <c r="C34" s="5">
        <v>3.2386149999999998</v>
      </c>
      <c r="D34" s="5">
        <v>3.0352229999999998</v>
      </c>
      <c r="E34" s="1">
        <f t="shared" si="0"/>
        <v>13127.672652400001</v>
      </c>
    </row>
    <row r="35" spans="1:5">
      <c r="A35" s="5">
        <v>3.1094889999999999</v>
      </c>
      <c r="B35" s="5">
        <v>3.117848</v>
      </c>
      <c r="C35" s="5">
        <v>3.117848</v>
      </c>
      <c r="D35" s="5">
        <v>2.9197669999999998</v>
      </c>
      <c r="E35" s="1">
        <f t="shared" si="0"/>
        <v>12633.837124</v>
      </c>
    </row>
    <row r="36" spans="1:5">
      <c r="A36" s="5">
        <v>2.9935589999999999</v>
      </c>
      <c r="B36" s="5">
        <v>3.001703</v>
      </c>
      <c r="C36" s="5">
        <v>3.001703</v>
      </c>
      <c r="D36" s="5">
        <v>2.8088069999999998</v>
      </c>
      <c r="E36" s="1">
        <f t="shared" si="0"/>
        <v>12159.048138000002</v>
      </c>
    </row>
    <row r="37" spans="1:5">
      <c r="A37" s="5">
        <v>2.8820610000000002</v>
      </c>
      <c r="B37" s="5">
        <v>2.8899949999999999</v>
      </c>
      <c r="C37" s="5">
        <v>2.8899949999999999</v>
      </c>
      <c r="D37" s="5">
        <v>2.7021609999999998</v>
      </c>
      <c r="E37" s="1">
        <f t="shared" si="0"/>
        <v>11702.539363600001</v>
      </c>
    </row>
    <row r="38" spans="1:5">
      <c r="A38" s="5">
        <v>2.7748170000000001</v>
      </c>
      <c r="B38" s="5">
        <v>2.7825470000000001</v>
      </c>
      <c r="C38" s="5">
        <v>2.7825470000000001</v>
      </c>
      <c r="D38" s="5">
        <v>2.5996540000000001</v>
      </c>
      <c r="E38" s="1">
        <f t="shared" si="0"/>
        <v>11263.575067599999</v>
      </c>
    </row>
    <row r="39" spans="1:5">
      <c r="A39" s="5">
        <v>2.671659</v>
      </c>
      <c r="B39" s="5">
        <v>2.679189</v>
      </c>
      <c r="C39" s="5">
        <v>2.679189</v>
      </c>
      <c r="D39" s="5">
        <v>2.5011169999999998</v>
      </c>
      <c r="E39" s="1">
        <f t="shared" si="0"/>
        <v>10841.449650800001</v>
      </c>
    </row>
    <row r="40" spans="1:5">
      <c r="A40" s="5">
        <v>2.5724230000000001</v>
      </c>
      <c r="B40" s="5">
        <v>2.579758</v>
      </c>
      <c r="C40" s="5">
        <v>2.579758</v>
      </c>
      <c r="D40" s="5">
        <v>2.406393</v>
      </c>
      <c r="E40" s="1">
        <f t="shared" si="0"/>
        <v>10435.493211200001</v>
      </c>
    </row>
    <row r="41" spans="1:5">
      <c r="A41" s="5">
        <v>2.4769540000000001</v>
      </c>
      <c r="B41" s="5">
        <v>2.4840979999999999</v>
      </c>
      <c r="C41" s="5">
        <v>2.4840979999999999</v>
      </c>
      <c r="D41" s="5">
        <v>2.3153260000000002</v>
      </c>
      <c r="E41" s="1">
        <f t="shared" si="0"/>
        <v>10045.0557816</v>
      </c>
    </row>
    <row r="42" spans="1:5">
      <c r="A42" s="5">
        <v>2.385103</v>
      </c>
      <c r="B42" s="5">
        <v>2.3920620000000001</v>
      </c>
      <c r="C42" s="5">
        <v>2.3920620000000001</v>
      </c>
      <c r="D42" s="5">
        <v>2.2277719999999999</v>
      </c>
      <c r="E42" s="1">
        <f t="shared" si="0"/>
        <v>9669.5277280000009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5171-09C2-EF45-9A29-949687B747C9}">
  <dimension ref="A1:H42"/>
  <sheetViews>
    <sheetView zoomScale="214" workbookViewId="0">
      <selection sqref="A1:XFD1048576"/>
    </sheetView>
  </sheetViews>
  <sheetFormatPr baseColWidth="10" defaultRowHeight="16"/>
  <cols>
    <col min="1" max="16384" width="10.83203125" style="1"/>
  </cols>
  <sheetData>
    <row r="1" spans="1:8" s="1" customFormat="1">
      <c r="A1" s="2" t="s">
        <v>0</v>
      </c>
      <c r="B1" s="3" t="s">
        <v>1</v>
      </c>
      <c r="C1" s="2" t="s">
        <v>0</v>
      </c>
      <c r="D1" s="2" t="s">
        <v>1</v>
      </c>
      <c r="E1" s="4" t="s">
        <v>2</v>
      </c>
    </row>
    <row r="2" spans="1:8" s="1" customFormat="1">
      <c r="A2" s="7" t="s">
        <v>5</v>
      </c>
      <c r="B2" s="7"/>
      <c r="C2" s="7" t="s">
        <v>6</v>
      </c>
      <c r="D2" s="7"/>
      <c r="G2" s="8" t="s">
        <v>9</v>
      </c>
      <c r="H2" s="8"/>
    </row>
    <row r="3" spans="1:8" s="1" customFormat="1">
      <c r="A3" s="5">
        <v>63.152090000000001</v>
      </c>
      <c r="B3" s="5">
        <v>70.162809999999993</v>
      </c>
      <c r="C3" s="1">
        <v>63.900727320208567</v>
      </c>
      <c r="D3" s="1">
        <v>70.910980225189363</v>
      </c>
      <c r="E3" s="1">
        <f>(A3*0.6*$H$3 + B3*0.34*$H$3) + (A3*0.6*$H$4 + B3*0.34*$H$4)</f>
        <v>80904.729898538004</v>
      </c>
      <c r="G3" s="4" t="s">
        <v>7</v>
      </c>
      <c r="H3" s="4">
        <v>333.77</v>
      </c>
    </row>
    <row r="4" spans="1:8" s="1" customFormat="1">
      <c r="A4" s="5">
        <v>33.210369999999998</v>
      </c>
      <c r="B4" s="5">
        <v>36.930489999999999</v>
      </c>
      <c r="C4" s="1">
        <v>33.603148524106167</v>
      </c>
      <c r="D4" s="1">
        <v>37.32290751311853</v>
      </c>
      <c r="E4" s="1">
        <f t="shared" ref="E4:E42" si="0">(A4*0.6*$H$3 + B4*0.34*$H$3) + (A4*0.6*$H$4 + B4*0.34*$H$4)</f>
        <v>42560.961364921997</v>
      </c>
      <c r="G4" s="4" t="s">
        <v>8</v>
      </c>
      <c r="H4" s="4">
        <v>976.5</v>
      </c>
    </row>
    <row r="5" spans="1:8" s="1" customFormat="1">
      <c r="A5" s="5">
        <v>20.8935</v>
      </c>
      <c r="B5" s="5">
        <v>23.286359999999998</v>
      </c>
      <c r="C5" s="1">
        <v>21.140600812625689</v>
      </c>
      <c r="D5" s="1">
        <v>23.53321736443587</v>
      </c>
      <c r="E5" s="1">
        <f t="shared" si="0"/>
        <v>26799.558178847998</v>
      </c>
    </row>
    <row r="6" spans="1:8" s="1" customFormat="1">
      <c r="A6" s="5">
        <v>14.32329</v>
      </c>
      <c r="B6" s="5">
        <v>16.02815</v>
      </c>
      <c r="C6" s="1">
        <v>14.492935350439661</v>
      </c>
      <c r="D6" s="1">
        <v>16.19763988757073</v>
      </c>
      <c r="E6" s="1">
        <f t="shared" si="0"/>
        <v>18400.83570715</v>
      </c>
    </row>
    <row r="7" spans="1:8" s="1" customFormat="1">
      <c r="A7" s="5">
        <v>10.72648</v>
      </c>
      <c r="B7" s="5">
        <v>12.071709999999999</v>
      </c>
      <c r="C7" s="1">
        <v>10.85394843433976</v>
      </c>
      <c r="D7" s="1">
        <v>12.19909473814894</v>
      </c>
      <c r="E7" s="1">
        <f t="shared" si="0"/>
        <v>13810.598786738001</v>
      </c>
    </row>
    <row r="8" spans="1:8" s="1" customFormat="1">
      <c r="A8" s="5">
        <v>8.6862010000000005</v>
      </c>
      <c r="B8" s="5">
        <v>9.8416560000000004</v>
      </c>
      <c r="C8" s="1">
        <v>8.7899345006890002</v>
      </c>
      <c r="D8" s="1">
        <v>9.9453711058574328</v>
      </c>
      <c r="E8" s="1">
        <f t="shared" si="0"/>
        <v>11213.138196982802</v>
      </c>
    </row>
    <row r="9" spans="1:8" s="1" customFormat="1">
      <c r="A9" s="5">
        <v>7.4685389999999998</v>
      </c>
      <c r="B9" s="5">
        <v>8.5222680000000004</v>
      </c>
      <c r="C9" s="1">
        <v>7.5582661145030512</v>
      </c>
      <c r="D9" s="1">
        <v>8.6120355387079801</v>
      </c>
      <c r="E9" s="1">
        <f t="shared" si="0"/>
        <v>9668.0820687203995</v>
      </c>
    </row>
    <row r="10" spans="1:8" s="1" customFormat="1">
      <c r="A10" s="5">
        <v>6.6901799999999998</v>
      </c>
      <c r="B10" s="5">
        <v>7.687729</v>
      </c>
      <c r="C10" s="1">
        <v>6.7710778020720523</v>
      </c>
      <c r="D10" s="1">
        <v>7.7687210864331533</v>
      </c>
      <c r="E10" s="1">
        <f t="shared" si="0"/>
        <v>8684.3855192821993</v>
      </c>
    </row>
    <row r="11" spans="1:8" s="1" customFormat="1">
      <c r="A11" s="5">
        <v>6.149851</v>
      </c>
      <c r="B11" s="5">
        <v>7.1146130000000003</v>
      </c>
      <c r="C11" s="1">
        <v>6.224705244567299</v>
      </c>
      <c r="D11" s="1">
        <v>7.1896137207144859</v>
      </c>
      <c r="E11" s="1">
        <f t="shared" si="0"/>
        <v>8004.2809135354</v>
      </c>
    </row>
    <row r="12" spans="1:8" s="1" customFormat="1">
      <c r="A12" s="5">
        <v>5.7414199999999997</v>
      </c>
      <c r="B12" s="5">
        <v>6.685238</v>
      </c>
      <c r="C12" s="1">
        <v>5.8117613564356772</v>
      </c>
      <c r="D12" s="1">
        <v>6.755776140247197</v>
      </c>
      <c r="E12" s="1">
        <f t="shared" si="0"/>
        <v>7491.9049400883996</v>
      </c>
    </row>
    <row r="13" spans="1:8" s="1" customFormat="1">
      <c r="A13" s="5">
        <v>5.4086860000000003</v>
      </c>
      <c r="B13" s="5">
        <v>6.3373910000000002</v>
      </c>
      <c r="C13" s="1">
        <v>5.4753786039796397</v>
      </c>
      <c r="D13" s="1">
        <v>6.404328095623204</v>
      </c>
      <c r="E13" s="1">
        <f t="shared" si="0"/>
        <v>7075.3591270258003</v>
      </c>
    </row>
    <row r="14" spans="1:8" s="1" customFormat="1">
      <c r="A14" s="5">
        <v>5.1217100000000002</v>
      </c>
      <c r="B14" s="5">
        <v>6.0380159999999998</v>
      </c>
      <c r="C14" s="1">
        <v>5.1852652332437366</v>
      </c>
      <c r="D14" s="1">
        <v>6.1018622291019176</v>
      </c>
      <c r="E14" s="1">
        <f t="shared" si="0"/>
        <v>6716.3803932888004</v>
      </c>
    </row>
    <row r="15" spans="1:8" s="1" customFormat="1">
      <c r="A15" s="5">
        <v>4.864395</v>
      </c>
      <c r="B15" s="5">
        <v>5.7694179999999999</v>
      </c>
      <c r="C15" s="1">
        <v>4.9251365337539994</v>
      </c>
      <c r="D15" s="1">
        <v>5.8304943420248936</v>
      </c>
      <c r="E15" s="1">
        <f t="shared" si="0"/>
        <v>6394.4309117623998</v>
      </c>
    </row>
    <row r="16" spans="1:8" s="1" customFormat="1">
      <c r="A16" s="5">
        <v>4.6279570000000003</v>
      </c>
      <c r="B16" s="5">
        <v>5.5220050000000001</v>
      </c>
      <c r="C16" s="1">
        <v>4.6861047051275726</v>
      </c>
      <c r="D16" s="1">
        <v>5.5805299148887313</v>
      </c>
      <c r="E16" s="1">
        <f t="shared" si="0"/>
        <v>6098.3318780930003</v>
      </c>
    </row>
    <row r="17" spans="1:5" s="1" customFormat="1">
      <c r="A17" s="5">
        <v>4.4074790000000004</v>
      </c>
      <c r="B17" s="5">
        <v>5.2904669999999996</v>
      </c>
      <c r="C17" s="1">
        <v>4.4631981788375041</v>
      </c>
      <c r="D17" s="1">
        <v>5.3466042926715147</v>
      </c>
      <c r="E17" s="1">
        <f t="shared" si="0"/>
        <v>5821.8521722686</v>
      </c>
    </row>
    <row r="18" spans="1:5" s="1" customFormat="1">
      <c r="A18" s="5">
        <v>4.2001049999999998</v>
      </c>
      <c r="B18" s="5">
        <v>5.0717699999999999</v>
      </c>
      <c r="C18" s="1">
        <v>4.2535270472230744</v>
      </c>
      <c r="D18" s="1">
        <v>5.1256493651793233</v>
      </c>
      <c r="E18" s="1">
        <f t="shared" si="0"/>
        <v>5561.3948934959999</v>
      </c>
    </row>
    <row r="19" spans="1:5" s="1" customFormat="1">
      <c r="A19" s="5">
        <v>4.0040760000000004</v>
      </c>
      <c r="B19" s="5">
        <v>4.8640879999999997</v>
      </c>
      <c r="C19" s="1">
        <v>4.0553151725183652</v>
      </c>
      <c r="D19" s="1">
        <v>4.9158215276778678</v>
      </c>
      <c r="E19" s="1">
        <f t="shared" si="0"/>
        <v>5314.7637147904006</v>
      </c>
    </row>
    <row r="20" spans="1:5" s="1" customFormat="1">
      <c r="A20" s="5">
        <v>3.8182309999999999</v>
      </c>
      <c r="B20" s="5">
        <v>4.6662480000000004</v>
      </c>
      <c r="C20" s="1">
        <v>3.8673889015587428</v>
      </c>
      <c r="D20" s="1">
        <v>4.7159358749026223</v>
      </c>
      <c r="E20" s="1">
        <f t="shared" si="0"/>
        <v>5080.5233401884007</v>
      </c>
    </row>
    <row r="21" spans="1:5" s="1" customFormat="1">
      <c r="A21" s="5">
        <v>3.6417380000000001</v>
      </c>
      <c r="B21" s="5">
        <v>4.4774349999999998</v>
      </c>
      <c r="C21" s="1">
        <v>3.6889064682886259</v>
      </c>
      <c r="D21" s="1">
        <v>4.5251671197617469</v>
      </c>
      <c r="E21" s="1">
        <f t="shared" si="0"/>
        <v>4857.6566070890003</v>
      </c>
    </row>
    <row r="22" spans="1:5" s="1" customFormat="1">
      <c r="A22" s="5">
        <v>3.473948</v>
      </c>
      <c r="B22" s="5">
        <v>4.2970280000000001</v>
      </c>
      <c r="C22" s="1">
        <v>3.519214337760677</v>
      </c>
      <c r="D22" s="1">
        <v>4.3428911112182549</v>
      </c>
      <c r="E22" s="1">
        <f t="shared" si="0"/>
        <v>4645.3766459464005</v>
      </c>
    </row>
    <row r="23" spans="1:5" s="1" customFormat="1">
      <c r="A23" s="5">
        <v>3.314324</v>
      </c>
      <c r="B23" s="5">
        <v>4.1245279999999998</v>
      </c>
      <c r="C23" s="1">
        <v>3.3577705469749781</v>
      </c>
      <c r="D23" s="1">
        <v>4.1686005095444001</v>
      </c>
      <c r="E23" s="1">
        <f t="shared" si="0"/>
        <v>4443.038987358399</v>
      </c>
    </row>
    <row r="24" spans="1:5" s="1" customFormat="1">
      <c r="A24" s="5">
        <v>3.162401</v>
      </c>
      <c r="B24" s="5">
        <v>3.9595020000000001</v>
      </c>
      <c r="C24" s="1">
        <v>3.2041034411521019</v>
      </c>
      <c r="D24" s="1">
        <v>4.0018596073527801</v>
      </c>
      <c r="E24" s="1">
        <f t="shared" si="0"/>
        <v>4250.0851680455999</v>
      </c>
    </row>
    <row r="25" spans="1:5" s="1" customFormat="1">
      <c r="A25" s="5">
        <v>3.0177559999999999</v>
      </c>
      <c r="B25" s="5">
        <v>3.8015639999999999</v>
      </c>
      <c r="C25" s="1">
        <v>3.057789140172817</v>
      </c>
      <c r="D25" s="1">
        <v>3.8422798413734589</v>
      </c>
      <c r="E25" s="1">
        <f t="shared" si="0"/>
        <v>4066.0106816471998</v>
      </c>
    </row>
    <row r="26" spans="1:5" s="1" customFormat="1">
      <c r="A26" s="5">
        <v>2.8800059999999998</v>
      </c>
      <c r="B26" s="5">
        <v>3.6503649999999999</v>
      </c>
      <c r="C26" s="1">
        <v>2.9184389428289941</v>
      </c>
      <c r="D26" s="1">
        <v>3.6895062635545579</v>
      </c>
      <c r="E26" s="1">
        <f t="shared" si="0"/>
        <v>3890.3589514789992</v>
      </c>
    </row>
    <row r="27" spans="1:5" s="1" customFormat="1">
      <c r="A27" s="5">
        <v>2.748793</v>
      </c>
      <c r="B27" s="5">
        <v>3.5055779999999999</v>
      </c>
      <c r="C27" s="1">
        <v>2.7856920273276269</v>
      </c>
      <c r="D27" s="1">
        <v>3.5432098374926402</v>
      </c>
      <c r="E27" s="1">
        <f t="shared" si="0"/>
        <v>3722.7028557264002</v>
      </c>
    </row>
    <row r="28" spans="1:5" s="1" customFormat="1">
      <c r="A28" s="5">
        <v>2.6237819999999998</v>
      </c>
      <c r="B28" s="5">
        <v>3.3668990000000001</v>
      </c>
      <c r="C28" s="1">
        <v>2.659210995437812</v>
      </c>
      <c r="D28" s="1">
        <v>3.4030828496250791</v>
      </c>
      <c r="E28" s="1">
        <f t="shared" si="0"/>
        <v>3562.6436006121999</v>
      </c>
    </row>
    <row r="29" spans="1:5" s="1" customFormat="1">
      <c r="A29" s="5">
        <v>2.5046590000000002</v>
      </c>
      <c r="B29" s="5">
        <v>3.2340399999999998</v>
      </c>
      <c r="C29" s="1">
        <v>2.5386789623681518</v>
      </c>
      <c r="D29" s="1">
        <v>3.2688360024033609</v>
      </c>
      <c r="E29" s="1">
        <f t="shared" si="0"/>
        <v>3409.80602963</v>
      </c>
    </row>
    <row r="30" spans="1:5" s="1" customFormat="1">
      <c r="A30" s="5">
        <v>2.3911289999999998</v>
      </c>
      <c r="B30" s="5">
        <v>3.106732</v>
      </c>
      <c r="C30" s="1">
        <v>2.423797503816937</v>
      </c>
      <c r="D30" s="1">
        <v>3.1401964305998722</v>
      </c>
      <c r="E30" s="1">
        <f t="shared" si="0"/>
        <v>3263.8383876955995</v>
      </c>
    </row>
    <row r="31" spans="1:5" s="1" customFormat="1">
      <c r="A31" s="5">
        <v>2.2829120000000001</v>
      </c>
      <c r="B31" s="5">
        <v>2.9847190000000001</v>
      </c>
      <c r="C31" s="1">
        <v>2.3142850934043979</v>
      </c>
      <c r="D31" s="1">
        <v>3.0169062375487008</v>
      </c>
      <c r="E31" s="1">
        <f t="shared" si="0"/>
        <v>3124.4065035482004</v>
      </c>
    </row>
    <row r="32" spans="1:5" s="1" customFormat="1">
      <c r="A32" s="5">
        <v>2.1797460000000002</v>
      </c>
      <c r="B32" s="5">
        <v>2.8677609999999998</v>
      </c>
      <c r="C32" s="1">
        <v>2.2098758337527191</v>
      </c>
      <c r="D32" s="1">
        <v>2.898721335909983</v>
      </c>
      <c r="E32" s="1">
        <f t="shared" si="0"/>
        <v>2991.1974847117999</v>
      </c>
    </row>
    <row r="33" spans="1:5" s="1" customFormat="1">
      <c r="A33" s="5">
        <v>2.0813809999999999</v>
      </c>
      <c r="B33" s="5">
        <v>2.755627</v>
      </c>
      <c r="C33" s="1">
        <v>2.1103183745006651</v>
      </c>
      <c r="D33" s="1">
        <v>2.7854104768527841</v>
      </c>
      <c r="E33" s="1">
        <f t="shared" si="0"/>
        <v>2863.9118820805998</v>
      </c>
    </row>
    <row r="34" spans="1:5" s="1" customFormat="1">
      <c r="A34" s="5">
        <v>1.987581</v>
      </c>
      <c r="B34" s="5">
        <v>2.6480999999999999</v>
      </c>
      <c r="C34" s="1">
        <v>2.01537495829758</v>
      </c>
      <c r="D34" s="1">
        <v>2.6767544041281801</v>
      </c>
      <c r="E34" s="1">
        <f t="shared" si="0"/>
        <v>2742.2674897019997</v>
      </c>
    </row>
    <row r="35" spans="1:5" s="1" customFormat="1">
      <c r="A35" s="5">
        <v>1.8981239999999999</v>
      </c>
      <c r="B35" s="5">
        <v>2.5449760000000001</v>
      </c>
      <c r="C35" s="1">
        <v>1.9248205612632321</v>
      </c>
      <c r="D35" s="1">
        <v>2.5725450974594821</v>
      </c>
      <c r="E35" s="1">
        <f t="shared" si="0"/>
        <v>2625.9988992848002</v>
      </c>
    </row>
    <row r="36" spans="1:5" s="1" customFormat="1">
      <c r="A36" s="5">
        <v>1.812799</v>
      </c>
      <c r="B36" s="5">
        <v>2.4460570000000001</v>
      </c>
      <c r="C36" s="1">
        <v>1.83844210806302</v>
      </c>
      <c r="D36" s="1">
        <v>2.4725850846074402</v>
      </c>
      <c r="E36" s="1">
        <f t="shared" si="0"/>
        <v>2514.8520232706005</v>
      </c>
    </row>
    <row r="37" spans="1:5" s="1" customFormat="1">
      <c r="A37" s="5">
        <v>1.731406</v>
      </c>
      <c r="B37" s="5">
        <v>2.351159</v>
      </c>
      <c r="C37" s="1">
        <v>1.7560377491213519</v>
      </c>
      <c r="D37" s="1">
        <v>2.3766868094986648</v>
      </c>
      <c r="E37" s="1">
        <f t="shared" si="0"/>
        <v>2408.5876587681996</v>
      </c>
    </row>
    <row r="38" spans="1:5" s="1" customFormat="1">
      <c r="A38" s="5">
        <v>1.6537539999999999</v>
      </c>
      <c r="B38" s="5">
        <v>2.2601059999999999</v>
      </c>
      <c r="C38" s="1">
        <v>1.6774161916082071</v>
      </c>
      <c r="D38" s="1">
        <v>2.2846720482120682</v>
      </c>
      <c r="E38" s="1">
        <f t="shared" si="0"/>
        <v>2306.9772422788001</v>
      </c>
    </row>
    <row r="39" spans="1:5" s="1" customFormat="1">
      <c r="A39" s="5">
        <v>1.5796650000000001</v>
      </c>
      <c r="B39" s="5">
        <v>2.1727280000000002</v>
      </c>
      <c r="C39" s="1">
        <v>1.6023960781261051</v>
      </c>
      <c r="D39" s="1">
        <v>2.196371367070876</v>
      </c>
      <c r="E39" s="1">
        <f t="shared" si="0"/>
        <v>2209.8051033604002</v>
      </c>
    </row>
    <row r="40" spans="1:5" s="1" customFormat="1">
      <c r="A40" s="5">
        <v>1.508969</v>
      </c>
      <c r="B40" s="5">
        <v>2.088867</v>
      </c>
      <c r="C40" s="1">
        <v>1.530805408407365</v>
      </c>
      <c r="D40" s="1">
        <v>2.111623618497811</v>
      </c>
      <c r="E40" s="1">
        <f t="shared" si="0"/>
        <v>2116.8672067686002</v>
      </c>
    </row>
    <row r="41" spans="1:5" s="1" customFormat="1">
      <c r="A41" s="5">
        <v>1.4415020000000001</v>
      </c>
      <c r="B41" s="5">
        <v>2.0083709999999999</v>
      </c>
      <c r="C41" s="1">
        <v>1.4624810001777599</v>
      </c>
      <c r="D41" s="1">
        <v>2.0302754711721178</v>
      </c>
      <c r="E41" s="1">
        <f t="shared" si="0"/>
        <v>2027.9669071818003</v>
      </c>
    </row>
    <row r="42" spans="1:5" s="1" customFormat="1">
      <c r="A42" s="5">
        <v>1.3771139999999999</v>
      </c>
      <c r="B42" s="5">
        <v>1.9310959999999999</v>
      </c>
      <c r="C42" s="1">
        <v>1.3972679859049131</v>
      </c>
      <c r="D42" s="1">
        <v>1.952180971554526</v>
      </c>
      <c r="E42" s="1">
        <f t="shared" si="0"/>
        <v>1942.9221294807999</v>
      </c>
    </row>
  </sheetData>
  <mergeCells count="3">
    <mergeCell ref="A2:B2"/>
    <mergeCell ref="C2:D2"/>
    <mergeCell ref="G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F0E0-E6D0-CC4C-B19B-7767FC3863D6}">
  <dimension ref="A1:G42"/>
  <sheetViews>
    <sheetView zoomScale="252" workbookViewId="0">
      <selection activeCell="C9" sqref="C9"/>
    </sheetView>
  </sheetViews>
  <sheetFormatPr baseColWidth="10" defaultRowHeight="16"/>
  <cols>
    <col min="1" max="2" width="11" style="1" bestFit="1" customWidth="1"/>
    <col min="3" max="3" width="11.5" style="1" bestFit="1" customWidth="1"/>
    <col min="4" max="6" width="10.83203125" style="1"/>
    <col min="7" max="7" width="11" style="1" bestFit="1" customWidth="1"/>
    <col min="8" max="16384" width="10.83203125" style="1"/>
  </cols>
  <sheetData>
    <row r="1" spans="1:7">
      <c r="A1" s="2" t="s">
        <v>10</v>
      </c>
      <c r="B1" s="2" t="s">
        <v>11</v>
      </c>
      <c r="C1" s="4" t="s">
        <v>2</v>
      </c>
    </row>
    <row r="2" spans="1:7">
      <c r="G2" s="1" t="s">
        <v>9</v>
      </c>
    </row>
    <row r="3" spans="1:7">
      <c r="A3" s="1">
        <v>53.062509524530469</v>
      </c>
      <c r="B3" s="1">
        <v>43.433011902723912</v>
      </c>
      <c r="C3" s="1">
        <f>A3*0.57*$G$3 + B3*0.3*$G$3</f>
        <v>664625.65116892126</v>
      </c>
      <c r="G3" s="6">
        <v>15358</v>
      </c>
    </row>
    <row r="4" spans="1:7">
      <c r="A4" s="1">
        <v>27.86542293427128</v>
      </c>
      <c r="B4" s="1">
        <v>22.78124305828052</v>
      </c>
      <c r="C4" s="1">
        <f t="shared" ref="C4:C42" si="0">A4*0.57*$G$3 + B4*0.3*$G$3</f>
        <v>348897.88355870848</v>
      </c>
    </row>
    <row r="5" spans="1:7">
      <c r="A5" s="1">
        <v>17.47107172870497</v>
      </c>
      <c r="B5" s="1">
        <v>14.24062824495023</v>
      </c>
      <c r="C5" s="1">
        <f t="shared" si="0"/>
        <v>218555.08075317071</v>
      </c>
    </row>
    <row r="6" spans="1:7">
      <c r="A6" s="1">
        <v>11.904452580000809</v>
      </c>
      <c r="B6" s="1">
        <v>9.6513831730465913</v>
      </c>
      <c r="C6" s="1">
        <f t="shared" si="0"/>
        <v>148680.07498397675</v>
      </c>
    </row>
    <row r="7" spans="1:7">
      <c r="A7" s="1">
        <v>8.8387961588901902</v>
      </c>
      <c r="B7" s="1">
        <v>7.1115549898859776</v>
      </c>
      <c r="C7" s="1">
        <f t="shared" si="0"/>
        <v>110141.13036309491</v>
      </c>
    </row>
    <row r="8" spans="1:7">
      <c r="A8" s="1">
        <v>7.0849087909593083</v>
      </c>
      <c r="B8" s="1">
        <v>5.6486998305381819</v>
      </c>
      <c r="C8" s="1">
        <f t="shared" si="0"/>
        <v>88047.536249806857</v>
      </c>
    </row>
    <row r="9" spans="1:7">
      <c r="A9" s="1">
        <v>6.0264281223570793</v>
      </c>
      <c r="B9" s="1">
        <v>4.7584754897786086</v>
      </c>
      <c r="C9" s="1">
        <f t="shared" si="0"/>
        <v>74679.913340407176</v>
      </c>
    </row>
    <row r="10" spans="1:7">
      <c r="A10" s="1">
        <v>5.3411416541168917</v>
      </c>
      <c r="B10" s="1">
        <v>4.1769848700221246</v>
      </c>
      <c r="C10" s="1">
        <f t="shared" si="0"/>
        <v>66001.714598778446</v>
      </c>
    </row>
    <row r="11" spans="1:7">
      <c r="A11" s="1">
        <v>4.8596375944339529</v>
      </c>
      <c r="B11" s="1">
        <v>3.76529097599825</v>
      </c>
      <c r="C11" s="1">
        <f t="shared" si="0"/>
        <v>59889.760722744832</v>
      </c>
    </row>
    <row r="12" spans="1:7">
      <c r="A12" s="1">
        <v>4.4924166846615314</v>
      </c>
      <c r="B12" s="1">
        <v>3.449847368165516</v>
      </c>
      <c r="C12" s="1">
        <f t="shared" si="0"/>
        <v>55221.711966613919</v>
      </c>
    </row>
    <row r="13" spans="1:7">
      <c r="A13" s="1">
        <v>4.1919430052406739</v>
      </c>
      <c r="B13" s="1">
        <v>3.1914703850355628</v>
      </c>
      <c r="C13" s="1">
        <f t="shared" si="0"/>
        <v>51400.901236470017</v>
      </c>
    </row>
    <row r="14" spans="1:7">
      <c r="A14" s="1">
        <v>3.9327759314330142</v>
      </c>
      <c r="B14" s="1">
        <v>2.96908683430234</v>
      </c>
      <c r="C14" s="1">
        <f t="shared" si="0"/>
        <v>48107.527150685084</v>
      </c>
    </row>
    <row r="15" spans="1:7">
      <c r="A15" s="1">
        <v>3.7011347939835422</v>
      </c>
      <c r="B15" s="1">
        <v>2.7711930759089451</v>
      </c>
      <c r="C15" s="1">
        <f t="shared" si="0"/>
        <v>45167.951032562436</v>
      </c>
    </row>
    <row r="16" spans="1:7">
      <c r="A16" s="1">
        <v>3.4894071691504198</v>
      </c>
      <c r="B16" s="1">
        <v>2.5913574905424501</v>
      </c>
      <c r="C16" s="1">
        <f t="shared" si="0"/>
        <v>42485.900225098201</v>
      </c>
    </row>
    <row r="17" spans="1:3">
      <c r="A17" s="1">
        <v>3.2932549707774679</v>
      </c>
      <c r="B17" s="1">
        <v>2.4258487440299632</v>
      </c>
      <c r="C17" s="1">
        <f t="shared" si="0"/>
        <v>40006.207112727847</v>
      </c>
    </row>
    <row r="18" spans="1:3">
      <c r="A18" s="1">
        <v>3.1100877845372801</v>
      </c>
      <c r="B18" s="1">
        <v>2.2723834599484478</v>
      </c>
      <c r="C18" s="1">
        <f t="shared" si="0"/>
        <v>37695.6746244729</v>
      </c>
    </row>
    <row r="19" spans="1:3">
      <c r="A19" s="1">
        <v>2.9382564983119668</v>
      </c>
      <c r="B19" s="1">
        <v>2.129463951340786</v>
      </c>
      <c r="C19" s="1">
        <f t="shared" si="0"/>
        <v>35532.965891020394</v>
      </c>
    </row>
    <row r="20" spans="1:3">
      <c r="A20" s="1">
        <v>2.7766266664643329</v>
      </c>
      <c r="B20" s="1">
        <v>1.9960272152887011</v>
      </c>
      <c r="C20" s="1">
        <f t="shared" si="0"/>
        <v>33503.252227549921</v>
      </c>
    </row>
    <row r="21" spans="1:3">
      <c r="A21" s="1">
        <v>2.6243521880219109</v>
      </c>
      <c r="B21" s="1">
        <v>1.871258236371238</v>
      </c>
      <c r="C21" s="1">
        <f t="shared" si="0"/>
        <v>31595.37171333193</v>
      </c>
    </row>
    <row r="22" spans="1:3">
      <c r="A22" s="1">
        <v>2.4807547239934329</v>
      </c>
      <c r="B22" s="1">
        <v>1.7544900972780131</v>
      </c>
      <c r="C22" s="1">
        <f t="shared" si="0"/>
        <v>29800.313373320667</v>
      </c>
    </row>
    <row r="23" spans="1:3">
      <c r="A23" s="1">
        <v>2.3452589820103831</v>
      </c>
      <c r="B23" s="1">
        <v>1.645150005640033</v>
      </c>
      <c r="C23" s="1">
        <f t="shared" si="0"/>
        <v>28110.401980043698</v>
      </c>
    </row>
    <row r="24" spans="1:3">
      <c r="A24" s="1">
        <v>2.217357559798705</v>
      </c>
      <c r="B24" s="1">
        <v>1.542729653545067</v>
      </c>
      <c r="C24" s="1">
        <f t="shared" si="0"/>
        <v>26518.853725674991</v>
      </c>
    </row>
    <row r="25" spans="1:3">
      <c r="A25" s="1">
        <v>2.09659146339534</v>
      </c>
      <c r="B25" s="1">
        <v>1.446768511571709</v>
      </c>
      <c r="C25" s="1">
        <f t="shared" si="0"/>
        <v>25019.528706266101</v>
      </c>
    </row>
    <row r="26" spans="1:3">
      <c r="A26" s="1">
        <v>1.982538968839717</v>
      </c>
      <c r="B26" s="1">
        <v>1.356844033844794</v>
      </c>
      <c r="C26" s="1">
        <f t="shared" si="0"/>
        <v>23606.788287097515</v>
      </c>
    </row>
    <row r="27" spans="1:3">
      <c r="A27" s="1">
        <v>1.8748089529901999</v>
      </c>
      <c r="B27" s="1">
        <v>1.272565587475109</v>
      </c>
      <c r="C27" s="1">
        <f t="shared" si="0"/>
        <v>22275.408750746206</v>
      </c>
    </row>
    <row r="28" spans="1:3">
      <c r="A28" s="1">
        <v>1.773036643353445</v>
      </c>
      <c r="B28" s="1">
        <v>1.193570417642841</v>
      </c>
      <c r="C28" s="1">
        <f t="shared" si="0"/>
        <v>21020.525500362281</v>
      </c>
    </row>
    <row r="29" spans="1:3">
      <c r="A29" s="1">
        <v>1.6768806998038359</v>
      </c>
      <c r="B29" s="1">
        <v>1.119520750817675</v>
      </c>
      <c r="C29" s="1">
        <f t="shared" si="0"/>
        <v>19837.594166242121</v>
      </c>
    </row>
    <row r="30" spans="1:3">
      <c r="A30" s="1">
        <v>1.5860210497056171</v>
      </c>
      <c r="B30" s="1">
        <v>1.0501015568540779</v>
      </c>
      <c r="C30" s="1">
        <f t="shared" si="0"/>
        <v>18722.361343435434</v>
      </c>
    </row>
    <row r="31" spans="1:3">
      <c r="A31" s="1">
        <v>1.500157166813243</v>
      </c>
      <c r="B31" s="1">
        <v>0.98501871202229074</v>
      </c>
      <c r="C31" s="1">
        <f t="shared" si="0"/>
        <v>17670.841061484636</v>
      </c>
    </row>
    <row r="32" spans="1:3">
      <c r="A32" s="1">
        <v>1.4190066266299231</v>
      </c>
      <c r="B32" s="1">
        <v>0.92399742234108828</v>
      </c>
      <c r="C32" s="1">
        <f t="shared" si="0"/>
        <v>16679.294873610273</v>
      </c>
    </row>
    <row r="33" spans="1:3">
      <c r="A33" s="1">
        <v>1.342303846384209</v>
      </c>
      <c r="B33" s="1">
        <v>0.86678082894297381</v>
      </c>
      <c r="C33" s="1">
        <f t="shared" si="0"/>
        <v>15744.214400750005</v>
      </c>
    </row>
    <row r="34" spans="1:3">
      <c r="A34" s="1">
        <v>1.269798957960814</v>
      </c>
      <c r="B34" s="1">
        <v>0.81312875049657407</v>
      </c>
      <c r="C34" s="1">
        <f t="shared" si="0"/>
        <v>14862.305670964359</v>
      </c>
    </row>
    <row r="35" spans="1:3">
      <c r="A35" s="1">
        <v>1.2012567836116761</v>
      </c>
      <c r="B35" s="1">
        <v>0.76281653564100316</v>
      </c>
      <c r="C35" s="1">
        <f t="shared" si="0"/>
        <v>14030.474865455984</v>
      </c>
    </row>
    <row r="36" spans="1:3">
      <c r="A36" s="1">
        <v>1.136455895917232</v>
      </c>
      <c r="B36" s="1">
        <v>0.71563400814118461</v>
      </c>
      <c r="C36" s="1">
        <f t="shared" si="0"/>
        <v>13245.815229322896</v>
      </c>
    </row>
    <row r="37" spans="1:3">
      <c r="A37" s="1">
        <v>1.0751877498112661</v>
      </c>
      <c r="B37" s="1">
        <v>0.67138449290923086</v>
      </c>
      <c r="C37" s="1">
        <f t="shared" si="0"/>
        <v>12505.5949857428</v>
      </c>
    </row>
    <row r="38" spans="1:3">
      <c r="A38" s="1">
        <v>1.0172558780901371</v>
      </c>
      <c r="B38" s="1">
        <v>0.62988391413315037</v>
      </c>
      <c r="C38" s="1">
        <f t="shared" si="0"/>
        <v>11807.24613813082</v>
      </c>
    </row>
    <row r="39" spans="1:3">
      <c r="A39" s="1">
        <v>0.96247514389447508</v>
      </c>
      <c r="B39" s="1">
        <v>0.59095995863300266</v>
      </c>
      <c r="C39" s="1">
        <f t="shared" si="0"/>
        <v>11148.354071566564</v>
      </c>
    </row>
    <row r="40" spans="1:3">
      <c r="A40" s="1">
        <v>0.91067104492854634</v>
      </c>
      <c r="B40" s="1">
        <v>0.55445129872243137</v>
      </c>
      <c r="C40" s="1">
        <f t="shared" si="0"/>
        <v>10526.64788130092</v>
      </c>
    </row>
    <row r="41" spans="1:3">
      <c r="A41" s="1">
        <v>0.86167906502424307</v>
      </c>
      <c r="B41" s="1">
        <v>0.52020686966792573</v>
      </c>
      <c r="C41" s="1">
        <f t="shared" si="0"/>
        <v>9939.9913672741259</v>
      </c>
    </row>
    <row r="42" spans="1:3">
      <c r="A42" s="1">
        <v>0.8153440692088102</v>
      </c>
      <c r="B42" s="1">
        <v>0.4880851974173292</v>
      </c>
      <c r="C42" s="1">
        <f t="shared" si="0"/>
        <v>9386.3746410786789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D4D8-5019-BD44-95E6-DECAB01CDB7E}">
  <dimension ref="A1:F42"/>
  <sheetViews>
    <sheetView zoomScale="227" workbookViewId="0">
      <selection activeCell="E10" sqref="E10"/>
    </sheetView>
  </sheetViews>
  <sheetFormatPr baseColWidth="10" defaultRowHeight="16"/>
  <cols>
    <col min="1" max="1" width="11" style="1" bestFit="1" customWidth="1"/>
    <col min="2" max="2" width="11.5" style="1" bestFit="1" customWidth="1"/>
    <col min="3" max="5" width="10.83203125" style="1"/>
    <col min="6" max="6" width="11" style="1" bestFit="1" customWidth="1"/>
    <col min="7" max="16384" width="10.83203125" style="1"/>
  </cols>
  <sheetData>
    <row r="1" spans="1:6">
      <c r="A1" s="2" t="s">
        <v>10</v>
      </c>
      <c r="B1" s="4" t="s">
        <v>2</v>
      </c>
    </row>
    <row r="2" spans="1:6">
      <c r="F2" s="1" t="s">
        <v>9</v>
      </c>
    </row>
    <row r="3" spans="1:6">
      <c r="A3" s="1">
        <v>51.074503035747803</v>
      </c>
      <c r="B3" s="1">
        <f>A3*0.8645*$F$3</f>
        <v>427321.52040848171</v>
      </c>
      <c r="F3" s="6">
        <v>9678</v>
      </c>
    </row>
    <row r="4" spans="1:6">
      <c r="A4" s="1">
        <v>26.81470673897185</v>
      </c>
      <c r="B4" s="1">
        <f t="shared" ref="B4:B42" si="0">A4*0.8645*$F$3</f>
        <v>224348.7566581908</v>
      </c>
    </row>
    <row r="5" spans="1:6">
      <c r="A5" s="1">
        <v>16.801833720652109</v>
      </c>
      <c r="B5" s="1">
        <f t="shared" si="0"/>
        <v>140574.74286405326</v>
      </c>
    </row>
    <row r="6" spans="1:6">
      <c r="A6" s="1">
        <v>11.435740780726761</v>
      </c>
      <c r="B6" s="1">
        <f t="shared" si="0"/>
        <v>95678.623323992724</v>
      </c>
    </row>
    <row r="7" spans="1:6">
      <c r="A7" s="1">
        <v>8.4774411748616672</v>
      </c>
      <c r="B7" s="1">
        <f t="shared" si="0"/>
        <v>70927.622134274046</v>
      </c>
    </row>
    <row r="8" spans="1:6">
      <c r="A8" s="1">
        <v>6.7825215011866931</v>
      </c>
      <c r="B8" s="1">
        <f t="shared" si="0"/>
        <v>56746.854649995126</v>
      </c>
    </row>
    <row r="9" spans="1:6">
      <c r="A9" s="1">
        <v>5.7577549376913408</v>
      </c>
      <c r="B9" s="1">
        <f t="shared" si="0"/>
        <v>48173.010952091441</v>
      </c>
    </row>
    <row r="10" spans="1:6">
      <c r="A10" s="1">
        <v>5.092967058969009</v>
      </c>
      <c r="B10" s="1">
        <f t="shared" si="0"/>
        <v>42610.976077548941</v>
      </c>
    </row>
    <row r="11" spans="1:6">
      <c r="A11" s="1">
        <v>4.6250327431972709</v>
      </c>
      <c r="B11" s="1">
        <f t="shared" si="0"/>
        <v>38695.942325249329</v>
      </c>
    </row>
    <row r="12" spans="1:6">
      <c r="A12" s="1">
        <v>4.2677404239036791</v>
      </c>
      <c r="B12" s="1">
        <f t="shared" si="0"/>
        <v>35706.609330585663</v>
      </c>
    </row>
    <row r="13" spans="1:6">
      <c r="A13" s="1">
        <v>3.9752728921947762</v>
      </c>
      <c r="B13" s="1">
        <f t="shared" si="0"/>
        <v>33259.641413296471</v>
      </c>
    </row>
    <row r="14" spans="1:6">
      <c r="A14" s="1">
        <v>3.7230860375087742</v>
      </c>
      <c r="B14" s="1">
        <f t="shared" si="0"/>
        <v>31149.687057088075</v>
      </c>
    </row>
    <row r="15" spans="1:6">
      <c r="A15" s="1">
        <v>3.4978646349603268</v>
      </c>
      <c r="B15" s="1">
        <f t="shared" si="0"/>
        <v>29265.342688662753</v>
      </c>
    </row>
    <row r="16" spans="1:6">
      <c r="A16" s="1">
        <v>3.2922358145117792</v>
      </c>
      <c r="B16" s="1">
        <f t="shared" si="0"/>
        <v>27544.922225004506</v>
      </c>
    </row>
    <row r="17" spans="1:2">
      <c r="A17" s="1">
        <v>3.1019828736116422</v>
      </c>
      <c r="B17" s="1">
        <f t="shared" si="0"/>
        <v>25953.146071828251</v>
      </c>
    </row>
    <row r="18" spans="1:2">
      <c r="A18" s="1">
        <v>2.924575179747043</v>
      </c>
      <c r="B18" s="1">
        <f t="shared" si="0"/>
        <v>24468.841360702179</v>
      </c>
    </row>
    <row r="19" spans="1:2">
      <c r="A19" s="1">
        <v>2.7583914995008652</v>
      </c>
      <c r="B19" s="1">
        <f t="shared" si="0"/>
        <v>23078.443829860425</v>
      </c>
    </row>
    <row r="20" spans="1:2">
      <c r="A20" s="1">
        <v>2.602308940989758</v>
      </c>
      <c r="B20" s="1">
        <f t="shared" si="0"/>
        <v>21772.558657262081</v>
      </c>
    </row>
    <row r="21" spans="1:2">
      <c r="A21" s="1">
        <v>2.4554847883036168</v>
      </c>
      <c r="B21" s="1">
        <f t="shared" si="0"/>
        <v>20544.135149849481</v>
      </c>
    </row>
    <row r="22" spans="1:2">
      <c r="A22" s="1">
        <v>2.3172401743229991</v>
      </c>
      <c r="B22" s="1">
        <f t="shared" si="0"/>
        <v>19387.493476936208</v>
      </c>
    </row>
    <row r="23" spans="1:2">
      <c r="A23" s="1">
        <v>2.186997571519484</v>
      </c>
      <c r="B23" s="1">
        <f t="shared" si="0"/>
        <v>18297.801678799635</v>
      </c>
    </row>
    <row r="24" spans="1:2">
      <c r="A24" s="1">
        <v>2.064246765870303</v>
      </c>
      <c r="B24" s="1">
        <f t="shared" si="0"/>
        <v>17270.790982980219</v>
      </c>
    </row>
    <row r="25" spans="1:2">
      <c r="A25" s="1">
        <v>1.9485259418142391</v>
      </c>
      <c r="B25" s="1">
        <f t="shared" si="0"/>
        <v>16302.597549087212</v>
      </c>
    </row>
    <row r="26" spans="1:2">
      <c r="A26" s="1">
        <v>1.8394108161993989</v>
      </c>
      <c r="B26" s="1">
        <f t="shared" si="0"/>
        <v>15389.671556549194</v>
      </c>
    </row>
    <row r="27" spans="1:2">
      <c r="A27" s="1">
        <v>1.736508088380073</v>
      </c>
      <c r="B27" s="1">
        <f t="shared" si="0"/>
        <v>14528.722403991458</v>
      </c>
    </row>
    <row r="28" spans="1:2">
      <c r="A28" s="1">
        <v>1.6394512306581011</v>
      </c>
      <c r="B28" s="1">
        <f t="shared" si="0"/>
        <v>13716.68348941222</v>
      </c>
    </row>
    <row r="29" spans="1:2">
      <c r="A29" s="1">
        <v>1.5478975709200169</v>
      </c>
      <c r="B29" s="1">
        <f t="shared" si="0"/>
        <v>12950.687801684111</v>
      </c>
    </row>
    <row r="30" spans="1:2">
      <c r="A30" s="1">
        <v>1.4615261093557119</v>
      </c>
      <c r="B30" s="1">
        <f t="shared" si="0"/>
        <v>12228.04965384489</v>
      </c>
    </row>
    <row r="31" spans="1:2">
      <c r="A31" s="1">
        <v>1.3800357702410011</v>
      </c>
      <c r="B31" s="1">
        <f t="shared" si="0"/>
        <v>11546.250056407238</v>
      </c>
    </row>
    <row r="32" spans="1:2">
      <c r="A32" s="1">
        <v>1.3031439269297851</v>
      </c>
      <c r="B32" s="1">
        <f t="shared" si="0"/>
        <v>10902.924376512476</v>
      </c>
    </row>
    <row r="33" spans="1:2">
      <c r="A33" s="1">
        <v>1.230585111000319</v>
      </c>
      <c r="B33" s="1">
        <f t="shared" si="0"/>
        <v>10295.851537833711</v>
      </c>
    </row>
    <row r="34" spans="1:2">
      <c r="A34" s="1">
        <v>1.1621098552487701</v>
      </c>
      <c r="B34" s="1">
        <f t="shared" si="0"/>
        <v>9722.9443403298719</v>
      </c>
    </row>
    <row r="35" spans="1:2">
      <c r="A35" s="1">
        <v>1.097483641001932</v>
      </c>
      <c r="B35" s="1">
        <f t="shared" si="0"/>
        <v>9182.2406527996354</v>
      </c>
    </row>
    <row r="36" spans="1:2">
      <c r="A36" s="1">
        <v>1.036485931463285</v>
      </c>
      <c r="B36" s="1">
        <f t="shared" si="0"/>
        <v>8671.8953252445954</v>
      </c>
    </row>
    <row r="37" spans="1:2">
      <c r="A37" s="1">
        <v>0.97890927897724589</v>
      </c>
      <c r="B37" s="1">
        <f t="shared" si="0"/>
        <v>8190.1727196786742</v>
      </c>
    </row>
    <row r="38" spans="1:2">
      <c r="A38" s="1">
        <v>0.92455849759321274</v>
      </c>
      <c r="B38" s="1">
        <f t="shared" si="0"/>
        <v>7735.4397872767995</v>
      </c>
    </row>
    <row r="39" spans="1:2">
      <c r="A39" s="1">
        <v>0.87324989433937361</v>
      </c>
      <c r="B39" s="1">
        <f t="shared" si="0"/>
        <v>7306.1596367265283</v>
      </c>
    </row>
    <row r="40" spans="1:2">
      <c r="A40" s="1">
        <v>0.82481055387745528</v>
      </c>
      <c r="B40" s="1">
        <f t="shared" si="0"/>
        <v>6900.8855491982877</v>
      </c>
    </row>
    <row r="41" spans="1:2">
      <c r="A41" s="1">
        <v>0.77907767203677736</v>
      </c>
      <c r="B41" s="1">
        <f t="shared" si="0"/>
        <v>6518.2554022707354</v>
      </c>
    </row>
    <row r="42" spans="1:2">
      <c r="A42" s="1">
        <v>0.73589793429146277</v>
      </c>
      <c r="B42" s="1">
        <f t="shared" si="0"/>
        <v>6156.9864698789152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Eor</vt:lpstr>
      <vt:lpstr>Lanyuak</vt:lpstr>
      <vt:lpstr>Mumberes</vt:lpstr>
      <vt:lpstr>Kabianga</vt:lpstr>
      <vt:lpstr>Kipsigis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2026-03-10T21:10:11Z</dcterms:created>
  <dcterms:modified xsi:type="dcterms:W3CDTF">2026-03-10T21:56:02Z</dcterms:modified>
</cp:coreProperties>
</file>