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Realistic_ER_Estimate/"/>
    </mc:Choice>
  </mc:AlternateContent>
  <xr:revisionPtr revIDLastSave="0" documentId="13_ncr:1_{61969A8D-DE1D-3A47-80C7-253CB108BDC0}" xr6:coauthVersionLast="47" xr6:coauthVersionMax="47" xr10:uidLastSave="{00000000-0000-0000-0000-000000000000}"/>
  <bookViews>
    <workbookView xWindow="0" yWindow="0" windowWidth="38400" windowHeight="21600" xr2:uid="{72AD1D35-862B-EB40-AF7A-21135E5EFD45}"/>
  </bookViews>
  <sheets>
    <sheet name="Net_Summary" sheetId="9" r:id="rId1"/>
    <sheet name="Subtracting_Biochar_Removals" sheetId="12" r:id="rId2"/>
    <sheet name="Summary_Removals" sheetId="6" r:id="rId3"/>
    <sheet name="Summary_Reductions" sheetId="8" r:id="rId4"/>
    <sheet name="Additional_Coop_Projections" sheetId="7" r:id="rId5"/>
    <sheet name="Eor" sheetId="1" r:id="rId6"/>
    <sheet name="Lanyuak" sheetId="2" r:id="rId7"/>
    <sheet name="Mumberes" sheetId="3" r:id="rId8"/>
    <sheet name="Kabianga" sheetId="4" r:id="rId9"/>
    <sheet name="Kipsigi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2" l="1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2" i="12"/>
  <c r="C11" i="12"/>
  <c r="D5" i="12"/>
  <c r="D4" i="12"/>
  <c r="H45" i="6"/>
  <c r="H49" i="8"/>
  <c r="E4" i="5"/>
  <c r="E5" i="5"/>
  <c r="E6" i="5"/>
  <c r="E7" i="5"/>
  <c r="F10" i="6" s="1"/>
  <c r="H10" i="6" s="1"/>
  <c r="E8" i="5"/>
  <c r="F11" i="6" s="1"/>
  <c r="H11" i="6" s="1"/>
  <c r="E9" i="5"/>
  <c r="F12" i="6" s="1"/>
  <c r="H12" i="6" s="1"/>
  <c r="E10" i="5"/>
  <c r="E11" i="5"/>
  <c r="E12" i="5"/>
  <c r="E13" i="5"/>
  <c r="E14" i="5"/>
  <c r="E15" i="5"/>
  <c r="E16" i="5"/>
  <c r="F19" i="6" s="1"/>
  <c r="H19" i="6" s="1"/>
  <c r="E17" i="5"/>
  <c r="F20" i="6" s="1"/>
  <c r="H20" i="6" s="1"/>
  <c r="E18" i="5"/>
  <c r="E19" i="5"/>
  <c r="E20" i="5"/>
  <c r="E21" i="5"/>
  <c r="E22" i="5"/>
  <c r="E23" i="5"/>
  <c r="F26" i="6" s="1"/>
  <c r="H26" i="6" s="1"/>
  <c r="E24" i="5"/>
  <c r="E25" i="5"/>
  <c r="F28" i="6" s="1"/>
  <c r="H28" i="6" s="1"/>
  <c r="E26" i="5"/>
  <c r="E27" i="5"/>
  <c r="E28" i="5"/>
  <c r="E29" i="5"/>
  <c r="E30" i="5"/>
  <c r="E31" i="5"/>
  <c r="F34" i="6" s="1"/>
  <c r="H34" i="6" s="1"/>
  <c r="E32" i="5"/>
  <c r="F35" i="6" s="1"/>
  <c r="H35" i="6" s="1"/>
  <c r="E33" i="5"/>
  <c r="F36" i="6" s="1"/>
  <c r="H36" i="6" s="1"/>
  <c r="E34" i="5"/>
  <c r="E35" i="5"/>
  <c r="E36" i="5"/>
  <c r="E37" i="5"/>
  <c r="E38" i="5"/>
  <c r="E39" i="5"/>
  <c r="E40" i="5"/>
  <c r="F43" i="6" s="1"/>
  <c r="H43" i="6" s="1"/>
  <c r="E41" i="5"/>
  <c r="E42" i="5"/>
  <c r="E3" i="5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H7" i="6"/>
  <c r="F13" i="6"/>
  <c r="H13" i="6" s="1"/>
  <c r="F14" i="6"/>
  <c r="H14" i="6" s="1"/>
  <c r="F18" i="6"/>
  <c r="H18" i="6" s="1"/>
  <c r="F27" i="6"/>
  <c r="H27" i="6" s="1"/>
  <c r="F29" i="6"/>
  <c r="H29" i="6" s="1"/>
  <c r="F30" i="6"/>
  <c r="H30" i="6" s="1"/>
  <c r="H4" i="4"/>
  <c r="H5" i="4"/>
  <c r="H6" i="4"/>
  <c r="H7" i="4"/>
  <c r="H8" i="4"/>
  <c r="E11" i="6" s="1"/>
  <c r="H9" i="4"/>
  <c r="H10" i="4"/>
  <c r="H11" i="4"/>
  <c r="H12" i="4"/>
  <c r="H13" i="4"/>
  <c r="H14" i="4"/>
  <c r="H15" i="4"/>
  <c r="E18" i="6" s="1"/>
  <c r="H16" i="4"/>
  <c r="E19" i="6" s="1"/>
  <c r="H17" i="4"/>
  <c r="H18" i="4"/>
  <c r="H19" i="4"/>
  <c r="E22" i="6" s="1"/>
  <c r="H20" i="4"/>
  <c r="H21" i="4"/>
  <c r="H22" i="4"/>
  <c r="H23" i="4"/>
  <c r="H24" i="4"/>
  <c r="E27" i="6" s="1"/>
  <c r="H25" i="4"/>
  <c r="H26" i="4"/>
  <c r="H27" i="4"/>
  <c r="E30" i="6" s="1"/>
  <c r="H28" i="4"/>
  <c r="H29" i="4"/>
  <c r="H30" i="4"/>
  <c r="H31" i="4"/>
  <c r="E34" i="6" s="1"/>
  <c r="H32" i="4"/>
  <c r="E35" i="6" s="1"/>
  <c r="H33" i="4"/>
  <c r="H34" i="4"/>
  <c r="E37" i="6" s="1"/>
  <c r="H35" i="4"/>
  <c r="E38" i="6" s="1"/>
  <c r="H36" i="4"/>
  <c r="H37" i="4"/>
  <c r="H38" i="4"/>
  <c r="H39" i="4"/>
  <c r="H40" i="4"/>
  <c r="H41" i="4"/>
  <c r="H42" i="4"/>
  <c r="H3" i="4"/>
  <c r="O5" i="3"/>
  <c r="O6" i="3"/>
  <c r="O7" i="3"/>
  <c r="O8" i="3"/>
  <c r="D10" i="6" s="1"/>
  <c r="O9" i="3"/>
  <c r="D11" i="6" s="1"/>
  <c r="O10" i="3"/>
  <c r="D12" i="6" s="1"/>
  <c r="O11" i="3"/>
  <c r="O12" i="3"/>
  <c r="D14" i="6" s="1"/>
  <c r="O13" i="3"/>
  <c r="O14" i="3"/>
  <c r="O15" i="3"/>
  <c r="O16" i="3"/>
  <c r="O17" i="3"/>
  <c r="D19" i="6" s="1"/>
  <c r="O18" i="3"/>
  <c r="D20" i="6" s="1"/>
  <c r="O19" i="3"/>
  <c r="D21" i="6" s="1"/>
  <c r="O20" i="3"/>
  <c r="D22" i="6" s="1"/>
  <c r="O21" i="3"/>
  <c r="O22" i="3"/>
  <c r="O23" i="3"/>
  <c r="O24" i="3"/>
  <c r="O25" i="3"/>
  <c r="O26" i="3"/>
  <c r="D28" i="6" s="1"/>
  <c r="O27" i="3"/>
  <c r="O28" i="3"/>
  <c r="O29" i="3"/>
  <c r="O30" i="3"/>
  <c r="O31" i="3"/>
  <c r="O32" i="3"/>
  <c r="D34" i="6" s="1"/>
  <c r="O33" i="3"/>
  <c r="O34" i="3"/>
  <c r="D36" i="6" s="1"/>
  <c r="O35" i="3"/>
  <c r="O36" i="3"/>
  <c r="O37" i="3"/>
  <c r="O38" i="3"/>
  <c r="O39" i="3"/>
  <c r="O40" i="3"/>
  <c r="O41" i="3"/>
  <c r="O42" i="3"/>
  <c r="D44" i="6" s="1"/>
  <c r="O43" i="3"/>
  <c r="O4" i="3"/>
  <c r="H4" i="1"/>
  <c r="H5" i="1"/>
  <c r="H6" i="1"/>
  <c r="H7" i="1"/>
  <c r="H8" i="1"/>
  <c r="B11" i="6" s="1"/>
  <c r="H9" i="1"/>
  <c r="B12" i="6" s="1"/>
  <c r="H10" i="1"/>
  <c r="B13" i="6" s="1"/>
  <c r="H11" i="1"/>
  <c r="B14" i="6" s="1"/>
  <c r="H12" i="1"/>
  <c r="H13" i="1"/>
  <c r="H14" i="1"/>
  <c r="H15" i="1"/>
  <c r="H16" i="1"/>
  <c r="B19" i="6" s="1"/>
  <c r="H17" i="1"/>
  <c r="H18" i="1"/>
  <c r="H19" i="1"/>
  <c r="B22" i="6" s="1"/>
  <c r="H20" i="1"/>
  <c r="H21" i="1"/>
  <c r="H22" i="1"/>
  <c r="H23" i="1"/>
  <c r="H24" i="1"/>
  <c r="H25" i="1"/>
  <c r="B28" i="6" s="1"/>
  <c r="H26" i="1"/>
  <c r="B29" i="6" s="1"/>
  <c r="H27" i="1"/>
  <c r="B30" i="6" s="1"/>
  <c r="H28" i="1"/>
  <c r="H29" i="1"/>
  <c r="H30" i="1"/>
  <c r="H31" i="1"/>
  <c r="H32" i="1"/>
  <c r="H33" i="1"/>
  <c r="H34" i="1"/>
  <c r="H35" i="1"/>
  <c r="H36" i="1"/>
  <c r="H37" i="1"/>
  <c r="H38" i="1"/>
  <c r="H39" i="1"/>
  <c r="B42" i="6" s="1"/>
  <c r="H40" i="1"/>
  <c r="B43" i="6" s="1"/>
  <c r="H41" i="1"/>
  <c r="B44" i="6" s="1"/>
  <c r="H42" i="1"/>
  <c r="B45" i="6" s="1"/>
  <c r="H3" i="1"/>
  <c r="N4" i="2"/>
  <c r="N5" i="2"/>
  <c r="N6" i="2"/>
  <c r="N7" i="2"/>
  <c r="C10" i="6" s="1"/>
  <c r="N8" i="2"/>
  <c r="C11" i="6" s="1"/>
  <c r="N9" i="2"/>
  <c r="C12" i="6" s="1"/>
  <c r="N10" i="2"/>
  <c r="C13" i="6" s="1"/>
  <c r="N11" i="2"/>
  <c r="N12" i="2"/>
  <c r="N13" i="2"/>
  <c r="N14" i="2"/>
  <c r="N15" i="2"/>
  <c r="N16" i="2"/>
  <c r="N17" i="2"/>
  <c r="N18" i="2"/>
  <c r="C21" i="6" s="1"/>
  <c r="N19" i="2"/>
  <c r="C22" i="6" s="1"/>
  <c r="N20" i="2"/>
  <c r="N21" i="2"/>
  <c r="N22" i="2"/>
  <c r="N23" i="2"/>
  <c r="C26" i="6" s="1"/>
  <c r="N24" i="2"/>
  <c r="C27" i="6" s="1"/>
  <c r="N25" i="2"/>
  <c r="C28" i="6" s="1"/>
  <c r="N26" i="2"/>
  <c r="C29" i="6" s="1"/>
  <c r="N27" i="2"/>
  <c r="N28" i="2"/>
  <c r="N29" i="2"/>
  <c r="N30" i="2"/>
  <c r="N31" i="2"/>
  <c r="N32" i="2"/>
  <c r="N33" i="2"/>
  <c r="N34" i="2"/>
  <c r="N35" i="2"/>
  <c r="C38" i="6" s="1"/>
  <c r="N36" i="2"/>
  <c r="N37" i="2"/>
  <c r="N38" i="2"/>
  <c r="N39" i="2"/>
  <c r="C42" i="6" s="1"/>
  <c r="N40" i="2"/>
  <c r="C43" i="6" s="1"/>
  <c r="N41" i="2"/>
  <c r="C44" i="6" s="1"/>
  <c r="N42" i="2"/>
  <c r="C45" i="6" s="1"/>
  <c r="N3" i="2"/>
  <c r="F15" i="6"/>
  <c r="H15" i="6" s="1"/>
  <c r="F16" i="6"/>
  <c r="H16" i="6" s="1"/>
  <c r="F17" i="6"/>
  <c r="H17" i="6" s="1"/>
  <c r="F22" i="6"/>
  <c r="H22" i="6" s="1"/>
  <c r="F23" i="6"/>
  <c r="H23" i="6" s="1"/>
  <c r="F24" i="6"/>
  <c r="H24" i="6" s="1"/>
  <c r="F25" i="6"/>
  <c r="H25" i="6" s="1"/>
  <c r="F31" i="6"/>
  <c r="H31" i="6" s="1"/>
  <c r="F32" i="6"/>
  <c r="H32" i="6" s="1"/>
  <c r="F33" i="6"/>
  <c r="H33" i="6" s="1"/>
  <c r="F37" i="6"/>
  <c r="H37" i="6" s="1"/>
  <c r="F38" i="6"/>
  <c r="H38" i="6" s="1"/>
  <c r="F40" i="6"/>
  <c r="H40" i="6" s="1"/>
  <c r="F41" i="6"/>
  <c r="H41" i="6" s="1"/>
  <c r="F45" i="6"/>
  <c r="F7" i="6"/>
  <c r="F6" i="6"/>
  <c r="H6" i="6" s="1"/>
  <c r="D43" i="6"/>
  <c r="D42" i="6"/>
  <c r="D41" i="6"/>
  <c r="D35" i="6"/>
  <c r="D33" i="6"/>
  <c r="D32" i="6"/>
  <c r="D31" i="6"/>
  <c r="D30" i="6"/>
  <c r="D26" i="6"/>
  <c r="D25" i="6"/>
  <c r="D24" i="6"/>
  <c r="D18" i="6"/>
  <c r="D17" i="6"/>
  <c r="D16" i="6"/>
  <c r="D9" i="6"/>
  <c r="D13" i="6"/>
  <c r="D27" i="6"/>
  <c r="D29" i="6"/>
  <c r="D37" i="6"/>
  <c r="D6" i="6"/>
  <c r="B10" i="6"/>
  <c r="B20" i="6"/>
  <c r="B21" i="6"/>
  <c r="B27" i="6"/>
  <c r="B34" i="6"/>
  <c r="B35" i="6"/>
  <c r="B36" i="6"/>
  <c r="B37" i="6"/>
  <c r="B38" i="6"/>
  <c r="E7" i="6"/>
  <c r="E10" i="6"/>
  <c r="E12" i="6"/>
  <c r="E13" i="6"/>
  <c r="E14" i="6"/>
  <c r="E15" i="6"/>
  <c r="E20" i="6"/>
  <c r="E21" i="6"/>
  <c r="E23" i="6"/>
  <c r="E28" i="6"/>
  <c r="E29" i="6"/>
  <c r="E31" i="6"/>
  <c r="E36" i="6"/>
  <c r="E39" i="6"/>
  <c r="E43" i="6"/>
  <c r="E44" i="6"/>
  <c r="E45" i="6"/>
  <c r="E26" i="6"/>
  <c r="D45" i="6"/>
  <c r="C14" i="6"/>
  <c r="C18" i="6"/>
  <c r="C19" i="6"/>
  <c r="C20" i="6"/>
  <c r="C30" i="6"/>
  <c r="C35" i="6"/>
  <c r="C36" i="6"/>
  <c r="C37" i="6"/>
  <c r="B18" i="6"/>
  <c r="B26" i="6"/>
  <c r="F8" i="6"/>
  <c r="H8" i="6" s="1"/>
  <c r="F39" i="6"/>
  <c r="H39" i="6" s="1"/>
  <c r="E8" i="6"/>
  <c r="E16" i="6"/>
  <c r="E24" i="6"/>
  <c r="E32" i="6"/>
  <c r="E40" i="6"/>
  <c r="E6" i="6"/>
  <c r="D7" i="6"/>
  <c r="D15" i="6"/>
  <c r="D23" i="6"/>
  <c r="D38" i="6"/>
  <c r="D39" i="6"/>
  <c r="D40" i="6"/>
  <c r="B7" i="6"/>
  <c r="B8" i="6"/>
  <c r="B9" i="6"/>
  <c r="B15" i="6"/>
  <c r="B16" i="6"/>
  <c r="B17" i="6"/>
  <c r="B23" i="6"/>
  <c r="B24" i="6"/>
  <c r="B25" i="6"/>
  <c r="B31" i="6"/>
  <c r="B32" i="6"/>
  <c r="B33" i="6"/>
  <c r="B39" i="6"/>
  <c r="B40" i="6"/>
  <c r="B41" i="6"/>
  <c r="B6" i="6"/>
  <c r="C7" i="6"/>
  <c r="C8" i="6"/>
  <c r="C9" i="6"/>
  <c r="C15" i="6"/>
  <c r="C16" i="6"/>
  <c r="C17" i="6"/>
  <c r="C23" i="6"/>
  <c r="C24" i="6"/>
  <c r="C25" i="6"/>
  <c r="C31" i="6"/>
  <c r="C32" i="6"/>
  <c r="C33" i="6"/>
  <c r="C34" i="6"/>
  <c r="C39" i="6"/>
  <c r="C40" i="6"/>
  <c r="C41" i="6"/>
  <c r="C6" i="6"/>
  <c r="F9" i="6"/>
  <c r="H9" i="6" s="1"/>
  <c r="F21" i="6"/>
  <c r="H21" i="6" s="1"/>
  <c r="F42" i="6"/>
  <c r="H42" i="6" s="1"/>
  <c r="F44" i="6"/>
  <c r="H44" i="6" s="1"/>
  <c r="E25" i="6"/>
  <c r="E33" i="6"/>
  <c r="E41" i="6"/>
  <c r="E42" i="6"/>
  <c r="E9" i="6"/>
  <c r="E17" i="6"/>
  <c r="D8" i="6"/>
  <c r="B43" i="7"/>
  <c r="B13" i="8"/>
  <c r="C13" i="8"/>
  <c r="E13" i="8"/>
  <c r="F13" i="8"/>
  <c r="B14" i="8"/>
  <c r="C14" i="8"/>
  <c r="E14" i="8"/>
  <c r="F14" i="8"/>
  <c r="B15" i="8"/>
  <c r="C15" i="8"/>
  <c r="E15" i="8"/>
  <c r="F15" i="8"/>
  <c r="B16" i="8"/>
  <c r="C16" i="8"/>
  <c r="E16" i="8"/>
  <c r="F16" i="8"/>
  <c r="B17" i="8"/>
  <c r="C17" i="8"/>
  <c r="E17" i="8"/>
  <c r="F17" i="8"/>
  <c r="B18" i="8"/>
  <c r="C18" i="8"/>
  <c r="E18" i="8"/>
  <c r="F18" i="8"/>
  <c r="B19" i="8"/>
  <c r="C19" i="8"/>
  <c r="E19" i="8"/>
  <c r="F19" i="8"/>
  <c r="B20" i="8"/>
  <c r="C20" i="8"/>
  <c r="E20" i="8"/>
  <c r="F20" i="8"/>
  <c r="B21" i="8"/>
  <c r="C21" i="8"/>
  <c r="E21" i="8"/>
  <c r="F21" i="8"/>
  <c r="B22" i="8"/>
  <c r="C22" i="8"/>
  <c r="E22" i="8"/>
  <c r="F22" i="8"/>
  <c r="B23" i="8"/>
  <c r="C23" i="8"/>
  <c r="E23" i="8"/>
  <c r="F23" i="8"/>
  <c r="B24" i="8"/>
  <c r="C24" i="8"/>
  <c r="E24" i="8"/>
  <c r="F24" i="8"/>
  <c r="B25" i="8"/>
  <c r="C25" i="8"/>
  <c r="E25" i="8"/>
  <c r="F25" i="8"/>
  <c r="B26" i="8"/>
  <c r="C26" i="8"/>
  <c r="E26" i="8"/>
  <c r="F26" i="8"/>
  <c r="B27" i="8"/>
  <c r="C27" i="8"/>
  <c r="E27" i="8"/>
  <c r="F27" i="8"/>
  <c r="B28" i="8"/>
  <c r="C28" i="8"/>
  <c r="E28" i="8"/>
  <c r="F28" i="8"/>
  <c r="B29" i="8"/>
  <c r="C29" i="8"/>
  <c r="E29" i="8"/>
  <c r="F29" i="8"/>
  <c r="B30" i="8"/>
  <c r="C30" i="8"/>
  <c r="E30" i="8"/>
  <c r="F30" i="8"/>
  <c r="B31" i="8"/>
  <c r="C31" i="8"/>
  <c r="E31" i="8"/>
  <c r="F31" i="8"/>
  <c r="B32" i="8"/>
  <c r="C32" i="8"/>
  <c r="E32" i="8"/>
  <c r="F32" i="8"/>
  <c r="B33" i="8"/>
  <c r="C33" i="8"/>
  <c r="E33" i="8"/>
  <c r="F33" i="8"/>
  <c r="B34" i="8"/>
  <c r="C34" i="8"/>
  <c r="E34" i="8"/>
  <c r="F34" i="8"/>
  <c r="B35" i="8"/>
  <c r="C35" i="8"/>
  <c r="E35" i="8"/>
  <c r="F35" i="8"/>
  <c r="B36" i="8"/>
  <c r="C36" i="8"/>
  <c r="E36" i="8"/>
  <c r="F36" i="8"/>
  <c r="B37" i="8"/>
  <c r="C37" i="8"/>
  <c r="E37" i="8"/>
  <c r="F37" i="8"/>
  <c r="B38" i="8"/>
  <c r="C38" i="8"/>
  <c r="E38" i="8"/>
  <c r="F38" i="8"/>
  <c r="B39" i="8"/>
  <c r="C39" i="8"/>
  <c r="E39" i="8"/>
  <c r="F39" i="8"/>
  <c r="B40" i="8"/>
  <c r="C40" i="8"/>
  <c r="E40" i="8"/>
  <c r="F40" i="8"/>
  <c r="B41" i="8"/>
  <c r="C41" i="8"/>
  <c r="E41" i="8"/>
  <c r="F41" i="8"/>
  <c r="B42" i="8"/>
  <c r="C42" i="8"/>
  <c r="E42" i="8"/>
  <c r="F42" i="8"/>
  <c r="B43" i="8"/>
  <c r="C43" i="8"/>
  <c r="E43" i="8"/>
  <c r="F43" i="8"/>
  <c r="B44" i="8"/>
  <c r="C44" i="8"/>
  <c r="E44" i="8"/>
  <c r="F44" i="8"/>
  <c r="B45" i="8"/>
  <c r="C45" i="8"/>
  <c r="E45" i="8"/>
  <c r="F45" i="8"/>
  <c r="B46" i="8"/>
  <c r="C46" i="8"/>
  <c r="E46" i="8"/>
  <c r="F46" i="8"/>
  <c r="B47" i="8"/>
  <c r="C47" i="8"/>
  <c r="E47" i="8"/>
  <c r="F47" i="8"/>
  <c r="B9" i="8"/>
  <c r="C9" i="8"/>
  <c r="E9" i="8"/>
  <c r="F9" i="8"/>
  <c r="B10" i="8"/>
  <c r="C10" i="8"/>
  <c r="E10" i="8"/>
  <c r="F10" i="8"/>
  <c r="B11" i="8"/>
  <c r="C11" i="8"/>
  <c r="E11" i="8"/>
  <c r="F11" i="8"/>
  <c r="B12" i="8"/>
  <c r="C12" i="8"/>
  <c r="E12" i="8"/>
  <c r="F12" i="8"/>
  <c r="F8" i="8"/>
  <c r="C8" i="8"/>
  <c r="E8" i="8"/>
  <c r="B8" i="8"/>
  <c r="E18" i="12" l="1"/>
  <c r="E49" i="12"/>
  <c r="F49" i="12" s="1"/>
  <c r="B41" i="9" s="1"/>
  <c r="E41" i="12"/>
  <c r="E33" i="12"/>
  <c r="E25" i="12"/>
  <c r="E17" i="12"/>
  <c r="F17" i="12" s="1"/>
  <c r="B9" i="9" s="1"/>
  <c r="E48" i="12"/>
  <c r="E40" i="12"/>
  <c r="E32" i="12"/>
  <c r="F32" i="12" s="1"/>
  <c r="B24" i="9" s="1"/>
  <c r="E24" i="12"/>
  <c r="F24" i="12" s="1"/>
  <c r="B16" i="9" s="1"/>
  <c r="E16" i="12"/>
  <c r="F16" i="12" s="1"/>
  <c r="B8" i="9" s="1"/>
  <c r="E47" i="12"/>
  <c r="F47" i="12" s="1"/>
  <c r="B39" i="9" s="1"/>
  <c r="E39" i="12"/>
  <c r="F39" i="12" s="1"/>
  <c r="B31" i="9" s="1"/>
  <c r="E31" i="12"/>
  <c r="F31" i="12" s="1"/>
  <c r="B23" i="9" s="1"/>
  <c r="E23" i="12"/>
  <c r="E15" i="12"/>
  <c r="F15" i="12" s="1"/>
  <c r="B7" i="9" s="1"/>
  <c r="E46" i="12"/>
  <c r="F46" i="12" s="1"/>
  <c r="B38" i="9" s="1"/>
  <c r="E38" i="12"/>
  <c r="F38" i="12" s="1"/>
  <c r="B30" i="9" s="1"/>
  <c r="E30" i="12"/>
  <c r="F30" i="12" s="1"/>
  <c r="B22" i="9" s="1"/>
  <c r="E22" i="12"/>
  <c r="F22" i="12" s="1"/>
  <c r="B14" i="9" s="1"/>
  <c r="E14" i="12"/>
  <c r="F14" i="12" s="1"/>
  <c r="B6" i="9" s="1"/>
  <c r="E45" i="12"/>
  <c r="E37" i="12"/>
  <c r="E29" i="12"/>
  <c r="F29" i="12" s="1"/>
  <c r="B21" i="9" s="1"/>
  <c r="E21" i="12"/>
  <c r="E13" i="12"/>
  <c r="F13" i="12" s="1"/>
  <c r="B5" i="9" s="1"/>
  <c r="E44" i="12"/>
  <c r="F44" i="12" s="1"/>
  <c r="B36" i="9" s="1"/>
  <c r="E36" i="12"/>
  <c r="E28" i="12"/>
  <c r="F28" i="12" s="1"/>
  <c r="B20" i="9" s="1"/>
  <c r="E20" i="12"/>
  <c r="E12" i="12"/>
  <c r="F12" i="12" s="1"/>
  <c r="B4" i="9" s="1"/>
  <c r="E11" i="12"/>
  <c r="F11" i="12" s="1"/>
  <c r="E43" i="12"/>
  <c r="F43" i="12" s="1"/>
  <c r="B35" i="9" s="1"/>
  <c r="E35" i="12"/>
  <c r="F35" i="12" s="1"/>
  <c r="B27" i="9" s="1"/>
  <c r="E27" i="12"/>
  <c r="F27" i="12" s="1"/>
  <c r="B19" i="9" s="1"/>
  <c r="E19" i="12"/>
  <c r="E50" i="12"/>
  <c r="E42" i="12"/>
  <c r="F42" i="12" s="1"/>
  <c r="B34" i="9" s="1"/>
  <c r="E34" i="12"/>
  <c r="F34" i="12" s="1"/>
  <c r="B26" i="9" s="1"/>
  <c r="E26" i="12"/>
  <c r="F26" i="12" s="1"/>
  <c r="B18" i="9" s="1"/>
  <c r="F25" i="12"/>
  <c r="B17" i="9" s="1"/>
  <c r="F41" i="12"/>
  <c r="B33" i="9" s="1"/>
  <c r="F33" i="12"/>
  <c r="B25" i="9" s="1"/>
  <c r="F36" i="12"/>
  <c r="B28" i="9" s="1"/>
  <c r="F23" i="12"/>
  <c r="B15" i="9" s="1"/>
  <c r="F50" i="12"/>
  <c r="B42" i="9" s="1"/>
  <c r="F21" i="12"/>
  <c r="B13" i="9" s="1"/>
  <c r="F37" i="12"/>
  <c r="B29" i="9" s="1"/>
  <c r="F45" i="12"/>
  <c r="B37" i="9" s="1"/>
  <c r="F20" i="12"/>
  <c r="B12" i="9" s="1"/>
  <c r="F40" i="12"/>
  <c r="B32" i="9" s="1"/>
  <c r="F48" i="12"/>
  <c r="B40" i="9" s="1"/>
  <c r="F18" i="12"/>
  <c r="B10" i="9" s="1"/>
  <c r="F19" i="12"/>
  <c r="B11" i="9" s="1"/>
  <c r="H47" i="8"/>
  <c r="H35" i="8"/>
  <c r="H15" i="8"/>
  <c r="C10" i="9" s="1"/>
  <c r="H12" i="8"/>
  <c r="C7" i="9" s="1"/>
  <c r="H43" i="8"/>
  <c r="C38" i="9" s="1"/>
  <c r="H39" i="8"/>
  <c r="C34" i="9" s="1"/>
  <c r="H31" i="8"/>
  <c r="C26" i="9" s="1"/>
  <c r="H17" i="8"/>
  <c r="C12" i="9" s="1"/>
  <c r="H19" i="8"/>
  <c r="H10" i="8"/>
  <c r="H45" i="8"/>
  <c r="C40" i="9" s="1"/>
  <c r="H41" i="8"/>
  <c r="C36" i="9" s="1"/>
  <c r="H37" i="8"/>
  <c r="C32" i="9" s="1"/>
  <c r="H33" i="8"/>
  <c r="C28" i="9" s="1"/>
  <c r="H29" i="8"/>
  <c r="C24" i="9" s="1"/>
  <c r="H27" i="8"/>
  <c r="C22" i="9" s="1"/>
  <c r="H25" i="8"/>
  <c r="H23" i="8"/>
  <c r="H21" i="8"/>
  <c r="C16" i="9" s="1"/>
  <c r="H9" i="8"/>
  <c r="C4" i="9" s="1"/>
  <c r="H8" i="8"/>
  <c r="C3" i="9" s="1"/>
  <c r="H40" i="8"/>
  <c r="C35" i="9" s="1"/>
  <c r="H32" i="8"/>
  <c r="C27" i="9" s="1"/>
  <c r="H24" i="8"/>
  <c r="C19" i="9" s="1"/>
  <c r="H16" i="8"/>
  <c r="H46" i="8"/>
  <c r="C41" i="9" s="1"/>
  <c r="H36" i="8"/>
  <c r="C31" i="9" s="1"/>
  <c r="H28" i="8"/>
  <c r="C23" i="9" s="1"/>
  <c r="H18" i="8"/>
  <c r="C13" i="9" s="1"/>
  <c r="H38" i="8"/>
  <c r="C33" i="9" s="1"/>
  <c r="H30" i="8"/>
  <c r="C25" i="9" s="1"/>
  <c r="H14" i="8"/>
  <c r="C9" i="9" s="1"/>
  <c r="H42" i="8"/>
  <c r="C37" i="9" s="1"/>
  <c r="H34" i="8"/>
  <c r="C29" i="9" s="1"/>
  <c r="H22" i="8"/>
  <c r="C17" i="9" s="1"/>
  <c r="H20" i="8"/>
  <c r="C15" i="9" s="1"/>
  <c r="H44" i="8"/>
  <c r="C39" i="9" s="1"/>
  <c r="H13" i="8"/>
  <c r="C8" i="9" s="1"/>
  <c r="H11" i="8"/>
  <c r="C6" i="9" s="1"/>
  <c r="H26" i="8"/>
  <c r="C21" i="9" s="1"/>
  <c r="C18" i="9"/>
  <c r="C11" i="9"/>
  <c r="C42" i="9"/>
  <c r="C30" i="9"/>
  <c r="C14" i="9"/>
  <c r="C5" i="9"/>
  <c r="C20" i="9"/>
  <c r="F52" i="12" l="1"/>
  <c r="B3" i="9"/>
  <c r="B42" i="7"/>
  <c r="B33" i="7" l="1"/>
  <c r="F37" i="7"/>
  <c r="E36" i="7"/>
  <c r="I40" i="7"/>
  <c r="J41" i="7"/>
  <c r="C34" i="7"/>
  <c r="G38" i="7"/>
  <c r="K42" i="7"/>
  <c r="D35" i="7"/>
  <c r="H39" i="7"/>
  <c r="C37" i="7"/>
  <c r="G41" i="7"/>
  <c r="E39" i="7"/>
  <c r="D38" i="7"/>
  <c r="H42" i="7"/>
  <c r="B36" i="7"/>
  <c r="F40" i="7"/>
  <c r="D31" i="7"/>
  <c r="C30" i="7"/>
  <c r="G34" i="7"/>
  <c r="K38" i="7"/>
  <c r="H35" i="7"/>
  <c r="B29" i="7"/>
  <c r="E32" i="7"/>
  <c r="I36" i="7"/>
  <c r="F33" i="7"/>
  <c r="J37" i="7"/>
  <c r="K40" i="7"/>
  <c r="F35" i="7"/>
  <c r="J39" i="7"/>
  <c r="C32" i="7"/>
  <c r="G36" i="7"/>
  <c r="D33" i="7"/>
  <c r="H37" i="7"/>
  <c r="B31" i="7"/>
  <c r="E34" i="7"/>
  <c r="I38" i="7"/>
  <c r="H27" i="7"/>
  <c r="C22" i="7"/>
  <c r="G26" i="7"/>
  <c r="K30" i="7"/>
  <c r="B21" i="7"/>
  <c r="D23" i="7"/>
  <c r="E24" i="7"/>
  <c r="I28" i="7"/>
  <c r="F25" i="7"/>
  <c r="J29" i="7"/>
  <c r="G12" i="7"/>
  <c r="J15" i="7"/>
  <c r="E10" i="7"/>
  <c r="K16" i="7"/>
  <c r="B7" i="7"/>
  <c r="F11" i="7"/>
  <c r="D9" i="7"/>
  <c r="H13" i="7"/>
  <c r="C8" i="7"/>
  <c r="I14" i="7"/>
  <c r="D37" i="7"/>
  <c r="H41" i="7"/>
  <c r="B35" i="7"/>
  <c r="I42" i="7"/>
  <c r="E38" i="7"/>
  <c r="F39" i="7"/>
  <c r="C36" i="7"/>
  <c r="G40" i="7"/>
  <c r="C14" i="7"/>
  <c r="G18" i="7"/>
  <c r="K22" i="7"/>
  <c r="D15" i="7"/>
  <c r="B13" i="7"/>
  <c r="H19" i="7"/>
  <c r="E16" i="7"/>
  <c r="I20" i="7"/>
  <c r="F17" i="7"/>
  <c r="J21" i="7"/>
  <c r="C21" i="7"/>
  <c r="G25" i="7"/>
  <c r="K29" i="7"/>
  <c r="B20" i="7"/>
  <c r="D22" i="7"/>
  <c r="H26" i="7"/>
  <c r="E23" i="7"/>
  <c r="I27" i="7"/>
  <c r="F24" i="7"/>
  <c r="J28" i="7"/>
  <c r="B5" i="7"/>
  <c r="D7" i="7"/>
  <c r="K14" i="7"/>
  <c r="I12" i="7"/>
  <c r="H11" i="7"/>
  <c r="E8" i="7"/>
  <c r="F9" i="7"/>
  <c r="C6" i="7"/>
  <c r="G10" i="7"/>
  <c r="J13" i="7"/>
  <c r="C29" i="7"/>
  <c r="G33" i="7"/>
  <c r="K37" i="7"/>
  <c r="B28" i="7"/>
  <c r="D30" i="7"/>
  <c r="H34" i="7"/>
  <c r="E31" i="7"/>
  <c r="I35" i="7"/>
  <c r="F32" i="7"/>
  <c r="J36" i="7"/>
  <c r="B19" i="7"/>
  <c r="D21" i="7"/>
  <c r="H25" i="7"/>
  <c r="E22" i="7"/>
  <c r="I26" i="7"/>
  <c r="F23" i="7"/>
  <c r="J27" i="7"/>
  <c r="C20" i="7"/>
  <c r="G24" i="7"/>
  <c r="K28" i="7"/>
  <c r="I15" i="7"/>
  <c r="D10" i="7"/>
  <c r="J16" i="7"/>
  <c r="E11" i="7"/>
  <c r="C9" i="7"/>
  <c r="G13" i="7"/>
  <c r="K17" i="7"/>
  <c r="F12" i="7"/>
  <c r="H14" i="7"/>
  <c r="B8" i="7"/>
  <c r="D13" i="7"/>
  <c r="H17" i="7"/>
  <c r="B11" i="7"/>
  <c r="E14" i="7"/>
  <c r="I18" i="7"/>
  <c r="F15" i="7"/>
  <c r="J19" i="7"/>
  <c r="C12" i="7"/>
  <c r="G16" i="7"/>
  <c r="K20" i="7"/>
  <c r="C10" i="7"/>
  <c r="F13" i="7"/>
  <c r="J17" i="7"/>
  <c r="I16" i="7"/>
  <c r="D11" i="7"/>
  <c r="E12" i="7"/>
  <c r="G14" i="7"/>
  <c r="K18" i="7"/>
  <c r="B9" i="7"/>
  <c r="H15" i="7"/>
  <c r="I34" i="7"/>
  <c r="D29" i="7"/>
  <c r="H33" i="7"/>
  <c r="B27" i="7"/>
  <c r="E30" i="7"/>
  <c r="F31" i="7"/>
  <c r="J35" i="7"/>
  <c r="C28" i="7"/>
  <c r="G32" i="7"/>
  <c r="K36" i="7"/>
  <c r="E27" i="7"/>
  <c r="I31" i="7"/>
  <c r="K33" i="7"/>
  <c r="G29" i="7"/>
  <c r="F28" i="7"/>
  <c r="J32" i="7"/>
  <c r="C25" i="7"/>
  <c r="B24" i="7"/>
  <c r="D26" i="7"/>
  <c r="H30" i="7"/>
  <c r="D28" i="7"/>
  <c r="H32" i="7"/>
  <c r="F30" i="7"/>
  <c r="B26" i="7"/>
  <c r="J34" i="7"/>
  <c r="E29" i="7"/>
  <c r="I33" i="7"/>
  <c r="C27" i="7"/>
  <c r="G31" i="7"/>
  <c r="K35" i="7"/>
  <c r="F34" i="7"/>
  <c r="J38" i="7"/>
  <c r="C31" i="7"/>
  <c r="G35" i="7"/>
  <c r="K39" i="7"/>
  <c r="H36" i="7"/>
  <c r="D32" i="7"/>
  <c r="B30" i="7"/>
  <c r="E33" i="7"/>
  <c r="I37" i="7"/>
  <c r="E19" i="7"/>
  <c r="I23" i="7"/>
  <c r="F20" i="7"/>
  <c r="J24" i="7"/>
  <c r="C17" i="7"/>
  <c r="G21" i="7"/>
  <c r="K25" i="7"/>
  <c r="B16" i="7"/>
  <c r="D18" i="7"/>
  <c r="H22" i="7"/>
  <c r="B37" i="7"/>
  <c r="C38" i="7"/>
  <c r="G42" i="7"/>
  <c r="D39" i="7"/>
  <c r="E40" i="7"/>
  <c r="F41" i="7"/>
  <c r="B41" i="7"/>
  <c r="C42" i="7"/>
  <c r="C40" i="7"/>
  <c r="D41" i="7"/>
  <c r="B39" i="7"/>
  <c r="E42" i="7"/>
  <c r="E35" i="7"/>
  <c r="I39" i="7"/>
  <c r="F36" i="7"/>
  <c r="J40" i="7"/>
  <c r="C33" i="7"/>
  <c r="G37" i="7"/>
  <c r="K41" i="7"/>
  <c r="B32" i="7"/>
  <c r="D34" i="7"/>
  <c r="H38" i="7"/>
  <c r="J14" i="7"/>
  <c r="E9" i="7"/>
  <c r="F10" i="7"/>
  <c r="G11" i="7"/>
  <c r="B6" i="7"/>
  <c r="K15" i="7"/>
  <c r="H12" i="7"/>
  <c r="C7" i="7"/>
  <c r="I13" i="7"/>
  <c r="D8" i="7"/>
  <c r="H16" i="7"/>
  <c r="B10" i="7"/>
  <c r="C11" i="7"/>
  <c r="E13" i="7"/>
  <c r="I17" i="7"/>
  <c r="D12" i="7"/>
  <c r="F14" i="7"/>
  <c r="J18" i="7"/>
  <c r="G15" i="7"/>
  <c r="K19" i="7"/>
  <c r="F18" i="7"/>
  <c r="J22" i="7"/>
  <c r="C15" i="7"/>
  <c r="G19" i="7"/>
  <c r="K23" i="7"/>
  <c r="B14" i="7"/>
  <c r="D16" i="7"/>
  <c r="H20" i="7"/>
  <c r="E17" i="7"/>
  <c r="I21" i="7"/>
  <c r="C24" i="7"/>
  <c r="F27" i="7"/>
  <c r="J31" i="7"/>
  <c r="B23" i="7"/>
  <c r="G28" i="7"/>
  <c r="K32" i="7"/>
  <c r="D25" i="7"/>
  <c r="H29" i="7"/>
  <c r="E26" i="7"/>
  <c r="I30" i="7"/>
  <c r="D20" i="7"/>
  <c r="H24" i="7"/>
  <c r="E21" i="7"/>
  <c r="I25" i="7"/>
  <c r="F22" i="7"/>
  <c r="J26" i="7"/>
  <c r="C19" i="7"/>
  <c r="G23" i="7"/>
  <c r="K27" i="7"/>
  <c r="B18" i="7"/>
  <c r="F26" i="7"/>
  <c r="J30" i="7"/>
  <c r="B22" i="7"/>
  <c r="C23" i="7"/>
  <c r="G27" i="7"/>
  <c r="K31" i="7"/>
  <c r="H28" i="7"/>
  <c r="D24" i="7"/>
  <c r="E25" i="7"/>
  <c r="I29" i="7"/>
  <c r="B25" i="7"/>
  <c r="E28" i="7"/>
  <c r="I32" i="7"/>
  <c r="F29" i="7"/>
  <c r="J33" i="7"/>
  <c r="C26" i="7"/>
  <c r="G30" i="7"/>
  <c r="K34" i="7"/>
  <c r="D27" i="7"/>
  <c r="H31" i="7"/>
  <c r="G20" i="7"/>
  <c r="B15" i="7"/>
  <c r="F19" i="7"/>
  <c r="J23" i="7"/>
  <c r="K24" i="7"/>
  <c r="C16" i="7"/>
  <c r="D17" i="7"/>
  <c r="H21" i="7"/>
  <c r="E18" i="7"/>
  <c r="I22" i="7"/>
  <c r="K13" i="7"/>
  <c r="I11" i="7"/>
  <c r="D6" i="7"/>
  <c r="F8" i="7"/>
  <c r="C5" i="7"/>
  <c r="H10" i="7"/>
  <c r="B4" i="7"/>
  <c r="G9" i="7"/>
  <c r="J12" i="7"/>
  <c r="E7" i="7"/>
  <c r="J25" i="7"/>
  <c r="E20" i="7"/>
  <c r="I24" i="7"/>
  <c r="F21" i="7"/>
  <c r="C18" i="7"/>
  <c r="G22" i="7"/>
  <c r="K26" i="7"/>
  <c r="B17" i="7"/>
  <c r="D19" i="7"/>
  <c r="H23" i="7"/>
  <c r="C41" i="7"/>
  <c r="D42" i="7"/>
  <c r="B40" i="7"/>
  <c r="D36" i="7"/>
  <c r="H40" i="7"/>
  <c r="B34" i="7"/>
  <c r="E37" i="7"/>
  <c r="I41" i="7"/>
  <c r="J42" i="7"/>
  <c r="F38" i="7"/>
  <c r="C35" i="7"/>
  <c r="G39" i="7"/>
  <c r="C13" i="7"/>
  <c r="G17" i="7"/>
  <c r="K21" i="7"/>
  <c r="D14" i="7"/>
  <c r="H18" i="7"/>
  <c r="E15" i="7"/>
  <c r="I19" i="7"/>
  <c r="F16" i="7"/>
  <c r="J20" i="7"/>
  <c r="B12" i="7"/>
  <c r="F42" i="7"/>
  <c r="D40" i="7"/>
  <c r="C39" i="7"/>
  <c r="B38" i="7"/>
  <c r="E41" i="7"/>
  <c r="D5" i="7"/>
  <c r="H9" i="7"/>
  <c r="C4" i="7"/>
  <c r="J11" i="7"/>
  <c r="B3" i="7"/>
  <c r="I10" i="7"/>
  <c r="G8" i="7"/>
  <c r="K12" i="7"/>
  <c r="E6" i="7"/>
  <c r="H50" i="6"/>
  <c r="F7" i="7"/>
  <c r="H47" i="6"/>
  <c r="H48" i="6" s="1"/>
  <c r="H49" i="6" s="1"/>
  <c r="L25" i="7" l="1"/>
  <c r="L8" i="7"/>
  <c r="L32" i="7"/>
  <c r="L38" i="7"/>
  <c r="L36" i="7"/>
  <c r="L42" i="7"/>
  <c r="L4" i="7"/>
  <c r="L10" i="7"/>
  <c r="L22" i="7"/>
  <c r="L20" i="7"/>
  <c r="L7" i="7"/>
  <c r="L37" i="7"/>
  <c r="L34" i="7"/>
  <c r="L35" i="7"/>
  <c r="L30" i="7"/>
  <c r="L23" i="7"/>
  <c r="L9" i="7"/>
  <c r="L41" i="7"/>
  <c r="L24" i="7"/>
  <c r="L28" i="7"/>
  <c r="L31" i="7"/>
  <c r="L39" i="7"/>
  <c r="L6" i="7"/>
  <c r="L5" i="7"/>
  <c r="L15" i="7"/>
  <c r="L16" i="7"/>
  <c r="L19" i="7"/>
  <c r="L21" i="7"/>
  <c r="L29" i="7"/>
  <c r="L13" i="7"/>
  <c r="L11" i="7"/>
  <c r="L27" i="7"/>
  <c r="L17" i="7"/>
  <c r="L18" i="7"/>
  <c r="L14" i="7"/>
  <c r="L12" i="7"/>
  <c r="L40" i="7"/>
  <c r="L26" i="7"/>
  <c r="L33" i="7"/>
  <c r="E3" i="9"/>
  <c r="E14" i="9"/>
  <c r="E8" i="9"/>
  <c r="E34" i="9"/>
  <c r="E10" i="9"/>
  <c r="E7" i="9"/>
  <c r="E4" i="9"/>
  <c r="I4" i="9" s="1"/>
  <c r="E30" i="9"/>
  <c r="E11" i="9"/>
  <c r="E32" i="9"/>
  <c r="E27" i="9"/>
  <c r="E29" i="9"/>
  <c r="E23" i="9"/>
  <c r="E25" i="9"/>
  <c r="E36" i="9"/>
  <c r="E20" i="9"/>
  <c r="E13" i="9"/>
  <c r="E33" i="9"/>
  <c r="E42" i="9"/>
  <c r="I42" i="9" s="1"/>
  <c r="E31" i="9"/>
  <c r="E18" i="9"/>
  <c r="E21" i="9"/>
  <c r="E16" i="9"/>
  <c r="E9" i="9"/>
  <c r="E38" i="9"/>
  <c r="E26" i="9"/>
  <c r="E6" i="9"/>
  <c r="E12" i="9"/>
  <c r="E22" i="9"/>
  <c r="E5" i="9"/>
  <c r="E41" i="9"/>
  <c r="E28" i="9"/>
  <c r="E15" i="9"/>
  <c r="E17" i="9"/>
  <c r="E19" i="9"/>
  <c r="E37" i="9"/>
  <c r="E39" i="9"/>
  <c r="E35" i="9"/>
  <c r="E40" i="9"/>
  <c r="E24" i="9"/>
  <c r="L3" i="7"/>
  <c r="L44" i="7"/>
  <c r="L45" i="7" s="1"/>
  <c r="J4" i="9" l="1"/>
  <c r="G4" i="9" s="1"/>
  <c r="I3" i="9"/>
  <c r="G3" i="9" s="1"/>
  <c r="R33" i="9"/>
  <c r="Q32" i="9"/>
  <c r="M28" i="9"/>
  <c r="N29" i="9"/>
  <c r="J25" i="9"/>
  <c r="L27" i="9"/>
  <c r="K26" i="9"/>
  <c r="P31" i="9"/>
  <c r="I24" i="9"/>
  <c r="O30" i="9"/>
  <c r="I38" i="9"/>
  <c r="J39" i="9"/>
  <c r="K40" i="9"/>
  <c r="L41" i="9"/>
  <c r="M42" i="9"/>
  <c r="J41" i="9"/>
  <c r="K42" i="9"/>
  <c r="I40" i="9"/>
  <c r="Q23" i="9"/>
  <c r="J16" i="9"/>
  <c r="N20" i="9"/>
  <c r="K17" i="9"/>
  <c r="L18" i="9"/>
  <c r="M19" i="9"/>
  <c r="R24" i="9"/>
  <c r="P22" i="9"/>
  <c r="O21" i="9"/>
  <c r="I15" i="9"/>
  <c r="Q21" i="9"/>
  <c r="I13" i="9"/>
  <c r="J14" i="9"/>
  <c r="M17" i="9"/>
  <c r="K15" i="9"/>
  <c r="L16" i="9"/>
  <c r="R22" i="9"/>
  <c r="N18" i="9"/>
  <c r="P20" i="9"/>
  <c r="O19" i="9"/>
  <c r="Q19" i="9"/>
  <c r="I11" i="9"/>
  <c r="N16" i="9"/>
  <c r="J12" i="9"/>
  <c r="R20" i="9"/>
  <c r="K13" i="9"/>
  <c r="L14" i="9"/>
  <c r="M15" i="9"/>
  <c r="P18" i="9"/>
  <c r="O17" i="9"/>
  <c r="L6" i="9"/>
  <c r="K5" i="9"/>
  <c r="R12" i="9"/>
  <c r="P10" i="9"/>
  <c r="M7" i="9"/>
  <c r="O9" i="9"/>
  <c r="Q11" i="9"/>
  <c r="N8" i="9"/>
  <c r="E44" i="9"/>
  <c r="Q36" i="9"/>
  <c r="L31" i="9"/>
  <c r="M32" i="9"/>
  <c r="N33" i="9"/>
  <c r="J29" i="9"/>
  <c r="R37" i="9"/>
  <c r="K30" i="9"/>
  <c r="I28" i="9"/>
  <c r="P35" i="9"/>
  <c r="O34" i="9"/>
  <c r="Q17" i="9"/>
  <c r="M13" i="9"/>
  <c r="R18" i="9"/>
  <c r="N14" i="9"/>
  <c r="I9" i="9"/>
  <c r="L12" i="9"/>
  <c r="P16" i="9"/>
  <c r="K11" i="9"/>
  <c r="J10" i="9"/>
  <c r="O15" i="9"/>
  <c r="Q28" i="9"/>
  <c r="N25" i="9"/>
  <c r="J21" i="9"/>
  <c r="K22" i="9"/>
  <c r="I20" i="9"/>
  <c r="L23" i="9"/>
  <c r="R29" i="9"/>
  <c r="P27" i="9"/>
  <c r="M24" i="9"/>
  <c r="O26" i="9"/>
  <c r="Q38" i="9"/>
  <c r="J31" i="9"/>
  <c r="L33" i="9"/>
  <c r="K32" i="9"/>
  <c r="M34" i="9"/>
  <c r="I30" i="9"/>
  <c r="P37" i="9"/>
  <c r="O36" i="9"/>
  <c r="R39" i="9"/>
  <c r="N35" i="9"/>
  <c r="J42" i="9"/>
  <c r="I41" i="9"/>
  <c r="R25" i="9"/>
  <c r="Q24" i="9"/>
  <c r="N21" i="9"/>
  <c r="J17" i="9"/>
  <c r="M20" i="9"/>
  <c r="K18" i="9"/>
  <c r="L19" i="9"/>
  <c r="P23" i="9"/>
  <c r="I16" i="9"/>
  <c r="G16" i="9" s="1"/>
  <c r="O22" i="9"/>
  <c r="J37" i="9"/>
  <c r="L39" i="9"/>
  <c r="M40" i="9"/>
  <c r="K38" i="9"/>
  <c r="I36" i="9"/>
  <c r="O42" i="9"/>
  <c r="N41" i="9"/>
  <c r="Q12" i="9"/>
  <c r="P11" i="9"/>
  <c r="M8" i="9"/>
  <c r="K6" i="9"/>
  <c r="L7" i="9"/>
  <c r="O10" i="9"/>
  <c r="R13" i="9"/>
  <c r="J5" i="9"/>
  <c r="N9" i="9"/>
  <c r="M39" i="9"/>
  <c r="J36" i="9"/>
  <c r="I35" i="9"/>
  <c r="K37" i="9"/>
  <c r="L38" i="9"/>
  <c r="P42" i="9"/>
  <c r="O41" i="9"/>
  <c r="N40" i="9"/>
  <c r="Q13" i="9"/>
  <c r="M9" i="9"/>
  <c r="J6" i="9"/>
  <c r="K7" i="9"/>
  <c r="O11" i="9"/>
  <c r="R14" i="9"/>
  <c r="P12" i="9"/>
  <c r="I5" i="9"/>
  <c r="N10" i="9"/>
  <c r="L8" i="9"/>
  <c r="Q29" i="9"/>
  <c r="M25" i="9"/>
  <c r="R30" i="9"/>
  <c r="J22" i="9"/>
  <c r="K23" i="9"/>
  <c r="L24" i="9"/>
  <c r="I21" i="9"/>
  <c r="P28" i="9"/>
  <c r="N26" i="9"/>
  <c r="O27" i="9"/>
  <c r="Q33" i="9"/>
  <c r="R34" i="9"/>
  <c r="J26" i="9"/>
  <c r="K27" i="9"/>
  <c r="L28" i="9"/>
  <c r="N30" i="9"/>
  <c r="P32" i="9"/>
  <c r="I25" i="9"/>
  <c r="M29" i="9"/>
  <c r="O31" i="9"/>
  <c r="Q15" i="9"/>
  <c r="I7" i="9"/>
  <c r="K9" i="9"/>
  <c r="N12" i="9"/>
  <c r="M11" i="9"/>
  <c r="J8" i="9"/>
  <c r="R16" i="9"/>
  <c r="P14" i="9"/>
  <c r="L10" i="9"/>
  <c r="O13" i="9"/>
  <c r="J40" i="9"/>
  <c r="L42" i="9"/>
  <c r="K41" i="9"/>
  <c r="I39" i="9"/>
  <c r="Q30" i="9"/>
  <c r="L25" i="9"/>
  <c r="J23" i="9"/>
  <c r="I22" i="9"/>
  <c r="N27" i="9"/>
  <c r="K24" i="9"/>
  <c r="M26" i="9"/>
  <c r="P29" i="9"/>
  <c r="O28" i="9"/>
  <c r="R31" i="9"/>
  <c r="Q26" i="9"/>
  <c r="I18" i="9"/>
  <c r="J19" i="9"/>
  <c r="R27" i="9"/>
  <c r="K20" i="9"/>
  <c r="L21" i="9"/>
  <c r="M22" i="9"/>
  <c r="N23" i="9"/>
  <c r="P25" i="9"/>
  <c r="O24" i="9"/>
  <c r="Q31" i="9"/>
  <c r="J24" i="9"/>
  <c r="M27" i="9"/>
  <c r="K25" i="9"/>
  <c r="L26" i="9"/>
  <c r="R32" i="9"/>
  <c r="P30" i="9"/>
  <c r="N28" i="9"/>
  <c r="I23" i="9"/>
  <c r="O29" i="9"/>
  <c r="Q18" i="9"/>
  <c r="I10" i="9"/>
  <c r="M14" i="9"/>
  <c r="R19" i="9"/>
  <c r="K12" i="9"/>
  <c r="L13" i="9"/>
  <c r="P17" i="9"/>
  <c r="N15" i="9"/>
  <c r="O16" i="9"/>
  <c r="J11" i="9"/>
  <c r="L40" i="9"/>
  <c r="I37" i="9"/>
  <c r="J38" i="9"/>
  <c r="K39" i="9"/>
  <c r="M41" i="9"/>
  <c r="N42" i="9"/>
  <c r="Q20" i="9"/>
  <c r="R21" i="9"/>
  <c r="M16" i="9"/>
  <c r="J13" i="9"/>
  <c r="N17" i="9"/>
  <c r="K14" i="9"/>
  <c r="I12" i="9"/>
  <c r="L15" i="9"/>
  <c r="P19" i="9"/>
  <c r="O18" i="9"/>
  <c r="Q39" i="9"/>
  <c r="L34" i="9"/>
  <c r="J32" i="9"/>
  <c r="M35" i="9"/>
  <c r="K33" i="9"/>
  <c r="R40" i="9"/>
  <c r="P38" i="9"/>
  <c r="N36" i="9"/>
  <c r="O37" i="9"/>
  <c r="I31" i="9"/>
  <c r="Q37" i="9"/>
  <c r="J30" i="9"/>
  <c r="I29" i="9"/>
  <c r="N34" i="9"/>
  <c r="K31" i="9"/>
  <c r="L32" i="9"/>
  <c r="P36" i="9"/>
  <c r="M33" i="9"/>
  <c r="R38" i="9"/>
  <c r="O35" i="9"/>
  <c r="Q42" i="9"/>
  <c r="I34" i="9"/>
  <c r="L37" i="9"/>
  <c r="J35" i="9"/>
  <c r="K36" i="9"/>
  <c r="M38" i="9"/>
  <c r="P41" i="9"/>
  <c r="N39" i="9"/>
  <c r="O40" i="9"/>
  <c r="Q27" i="9"/>
  <c r="R28" i="9"/>
  <c r="J20" i="9"/>
  <c r="I19" i="9"/>
  <c r="M23" i="9"/>
  <c r="N24" i="9"/>
  <c r="K21" i="9"/>
  <c r="L22" i="9"/>
  <c r="P26" i="9"/>
  <c r="O25" i="9"/>
  <c r="Q14" i="9"/>
  <c r="K8" i="9"/>
  <c r="N11" i="9"/>
  <c r="M10" i="9"/>
  <c r="J7" i="9"/>
  <c r="P13" i="9"/>
  <c r="I6" i="9"/>
  <c r="R15" i="9"/>
  <c r="O12" i="9"/>
  <c r="L9" i="9"/>
  <c r="Q35" i="9"/>
  <c r="J28" i="9"/>
  <c r="I27" i="9"/>
  <c r="M31" i="9"/>
  <c r="K29" i="9"/>
  <c r="R36" i="9"/>
  <c r="L30" i="9"/>
  <c r="P34" i="9"/>
  <c r="N32" i="9"/>
  <c r="O33" i="9"/>
  <c r="R17" i="9"/>
  <c r="Q16" i="9"/>
  <c r="I8" i="9"/>
  <c r="P15" i="9"/>
  <c r="M12" i="9"/>
  <c r="L11" i="9"/>
  <c r="J9" i="9"/>
  <c r="N13" i="9"/>
  <c r="O14" i="9"/>
  <c r="K10" i="9"/>
  <c r="Q25" i="9"/>
  <c r="M21" i="9"/>
  <c r="R26" i="9"/>
  <c r="J18" i="9"/>
  <c r="K19" i="9"/>
  <c r="L20" i="9"/>
  <c r="P24" i="9"/>
  <c r="I17" i="9"/>
  <c r="N22" i="9"/>
  <c r="O23" i="9"/>
  <c r="Q34" i="9"/>
  <c r="I26" i="9"/>
  <c r="L29" i="9"/>
  <c r="J27" i="9"/>
  <c r="N31" i="9"/>
  <c r="R35" i="9"/>
  <c r="K28" i="9"/>
  <c r="M30" i="9"/>
  <c r="P33" i="9"/>
  <c r="O32" i="9"/>
  <c r="R42" i="9"/>
  <c r="Q41" i="9"/>
  <c r="J34" i="9"/>
  <c r="L36" i="9"/>
  <c r="K35" i="9"/>
  <c r="P40" i="9"/>
  <c r="I33" i="9"/>
  <c r="M37" i="9"/>
  <c r="O39" i="9"/>
  <c r="N38" i="9"/>
  <c r="R41" i="9"/>
  <c r="Q40" i="9"/>
  <c r="M36" i="9"/>
  <c r="N37" i="9"/>
  <c r="J33" i="9"/>
  <c r="K34" i="9"/>
  <c r="L35" i="9"/>
  <c r="P39" i="9"/>
  <c r="O38" i="9"/>
  <c r="I32" i="9"/>
  <c r="Q22" i="9"/>
  <c r="M18" i="9"/>
  <c r="J15" i="9"/>
  <c r="K16" i="9"/>
  <c r="L17" i="9"/>
  <c r="P21" i="9"/>
  <c r="I14" i="9"/>
  <c r="N19" i="9"/>
  <c r="O20" i="9"/>
  <c r="R23" i="9"/>
  <c r="L47" i="7"/>
  <c r="L48" i="7" s="1"/>
  <c r="G42" i="9" l="1"/>
  <c r="G31" i="9"/>
  <c r="G37" i="9"/>
  <c r="G13" i="9"/>
  <c r="G26" i="9"/>
  <c r="G19" i="9"/>
  <c r="G41" i="9"/>
  <c r="G33" i="9"/>
  <c r="G10" i="9"/>
  <c r="G38" i="9"/>
  <c r="G25" i="9"/>
  <c r="G28" i="9"/>
  <c r="G8" i="9"/>
  <c r="G6" i="9"/>
  <c r="G34" i="9"/>
  <c r="G9" i="9"/>
  <c r="G40" i="9"/>
  <c r="G35" i="9"/>
  <c r="G29" i="9"/>
  <c r="G12" i="9"/>
  <c r="G23" i="9"/>
  <c r="G21" i="9"/>
  <c r="G24" i="9"/>
  <c r="G30" i="9"/>
  <c r="G39" i="9"/>
  <c r="G36" i="9"/>
  <c r="G20" i="9"/>
  <c r="G15" i="9"/>
  <c r="G32" i="9"/>
  <c r="G17" i="9"/>
  <c r="G14" i="9"/>
  <c r="G27" i="9"/>
  <c r="G18" i="9"/>
  <c r="G22" i="9"/>
  <c r="G7" i="9"/>
  <c r="G5" i="9"/>
  <c r="G11" i="9"/>
  <c r="G4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tc={51D8FB6B-0583-8244-BA62-9F39A23EDA91}</author>
  </authors>
  <commentList>
    <comment ref="C9" authorId="0" shapeId="0" xr:uid="{51D8FB6B-0583-8244-BA62-9F39A23EDA9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this stage the ERRs are mostly coming from soil carbon sequestration, from organic fertilizer addition.
Reply:
    These ERRs are coming from maintaining SOC at current levels, not increasing from current levels.</t>
      </text>
    </comment>
  </commentList>
</comments>
</file>

<file path=xl/sharedStrings.xml><?xml version="1.0" encoding="utf-8"?>
<sst xmlns="http://schemas.openxmlformats.org/spreadsheetml/2006/main" count="134" uniqueCount="92">
  <si>
    <t>Nth</t>
  </si>
  <si>
    <t>Ntu</t>
  </si>
  <si>
    <t>Area (ha)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</si>
  <si>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</si>
  <si>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</si>
  <si>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</si>
  <si>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</si>
  <si>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</si>
  <si>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</si>
  <si>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</si>
  <si>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</si>
  <si>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</si>
  <si>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</si>
  <si>
    <t xml:space="preserve">Total Coops --&gt; </t>
  </si>
  <si>
    <t>ER/yr</t>
  </si>
  <si>
    <t>10yr avg</t>
  </si>
  <si>
    <t xml:space="preserve"> Year </t>
  </si>
  <si>
    <t xml:space="preserve"> Eor </t>
  </si>
  <si>
    <t xml:space="preserve"> Lanyuak </t>
  </si>
  <si>
    <t xml:space="preserve"> Mumberes </t>
  </si>
  <si>
    <t xml:space="preserve"> Kabianga </t>
  </si>
  <si>
    <t xml:space="preserve"> Kipsigis </t>
  </si>
  <si>
    <t>Ers (tCO2e/ha/yr)</t>
  </si>
  <si>
    <t>Net Removals</t>
  </si>
  <si>
    <t>Net Reductions</t>
  </si>
  <si>
    <t xml:space="preserve"> Net Total Project ERs (QA3) </t>
  </si>
  <si>
    <t>Total (1st 10y)</t>
  </si>
  <si>
    <t>Avg/yr (1st 10y)</t>
  </si>
  <si>
    <t>Total (40y)</t>
  </si>
  <si>
    <t>Avg/yr (40y)</t>
  </si>
  <si>
    <t>Maize - SOC Baseline (tCO2e/ha)</t>
  </si>
  <si>
    <t>Maize - SOC Project (tCO2e/ha)</t>
  </si>
  <si>
    <t>Maize - ERs (tCO2e/ha)</t>
  </si>
  <si>
    <t>Potato - SOC Baseline (tCO2e/ha)</t>
  </si>
  <si>
    <t>Potato - SOC Project (tCO2e/ha)</t>
  </si>
  <si>
    <t>Potato - ERs (tCO2e/ha)</t>
  </si>
  <si>
    <t>Net ERs</t>
  </si>
  <si>
    <t>Wheat - SOC Baseline (tCO2e/ha)</t>
  </si>
  <si>
    <t>Wheat - SOC Project (tCO2e/ha)</t>
  </si>
  <si>
    <t>Wheat - ERs (tCO2e/ha)</t>
  </si>
  <si>
    <t>Barley - SOC Baseline (tCO2e/ha)</t>
  </si>
  <si>
    <t>Barley - SOC Project (tCO2e/ha)</t>
  </si>
  <si>
    <t>Barley - ERs (tCO2e/ha)</t>
  </si>
  <si>
    <t>Net Ers</t>
  </si>
  <si>
    <t>Tea - SOC Baseline (tCO2e/ha)</t>
  </si>
  <si>
    <t>Tea - SOC Project (tCO2e/ha)</t>
  </si>
  <si>
    <t>Tea - ERs (tCO2e/ha)</t>
  </si>
  <si>
    <t>Napier - SOC Baseline (tCO2e/ha)</t>
  </si>
  <si>
    <t>Napier - SOC Project (tCO2e/ha)</t>
  </si>
  <si>
    <t>Napier - ERs (tCO2e/ha)</t>
  </si>
  <si>
    <t>Conservative Buffer (20% buffer + 20% model uncertainty-deduction + 10% other updates):</t>
  </si>
  <si>
    <t>Adoption rate: 10%</t>
  </si>
  <si>
    <t>Total ERs: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</si>
  <si>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</si>
  <si>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</si>
  <si>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</si>
  <si>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</si>
  <si>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</si>
  <si>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</si>
  <si>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</si>
  <si>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</si>
  <si>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</si>
  <si>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</si>
  <si>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 in which farmers adopt practice</t>
  </si>
  <si>
    <t>ERRs before adoption rate</t>
  </si>
  <si>
    <t>Biochar C content</t>
  </si>
  <si>
    <t>Organic matter in HYGROW organic fertilizer</t>
  </si>
  <si>
    <t>Approximate estimations</t>
  </si>
  <si>
    <t>Reference</t>
  </si>
  <si>
    <t>HYGROW Technical Sheet</t>
  </si>
  <si>
    <t>Calculation</t>
  </si>
  <si>
    <t>Estimate from literature</t>
  </si>
  <si>
    <t>Estimate data from HYGROW</t>
  </si>
  <si>
    <t>Biochar w/in organic fertilizer</t>
  </si>
  <si>
    <t>Compost w/in organic fertilizer</t>
  </si>
  <si>
    <t>30% of fertilizer organic content</t>
  </si>
  <si>
    <t>70% of fertilizer organic content</t>
  </si>
  <si>
    <t>https://www.mdpi.com/2311-5629/9/3/67</t>
  </si>
  <si>
    <t>Parameters</t>
  </si>
  <si>
    <t>Link</t>
  </si>
  <si>
    <t>After subtracting compost production-related emissions from reductions (from offsetting synthetic fertilizer) and removals (from SOC sequestration)</t>
  </si>
  <si>
    <t>Research reference</t>
  </si>
  <si>
    <t>EPA technical sheet</t>
  </si>
  <si>
    <t>Emission removals from compost (MTCO2e per ton of organic matter in compost)</t>
  </si>
  <si>
    <t>0.13 MTCO2e/ton organic matter in MSW</t>
  </si>
  <si>
    <t xml:space="preserve">https://www.epa.gov/system/files/documents/2023-12/warm_organic_materials_v16_dec.pdf </t>
  </si>
  <si>
    <t>Biochar (estimated) carbon credit deduction (tCO2e)</t>
  </si>
  <si>
    <t>Net Summary Removals (tCO2e)</t>
  </si>
  <si>
    <t>(compost's contribution to removals)</t>
  </si>
  <si>
    <t>ERRs after applying adoption rate</t>
  </si>
  <si>
    <t>https://github.com/mihirobendre/Agricentric_SOC_Modeling/blob/main/References/Biochar_Compost_ER_Adjustment/HYGROW%20%20%E2%80%93%20TECHNICAL%20SHEET.pdf</t>
  </si>
  <si>
    <t>Net ERRs after subtracting biochar (tCO2e)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</si>
</sst>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MT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43" fontId="2" fillId="0" borderId="0" xfId="1" applyFont="1"/>
    <xf numFmtId="43" fontId="3" fillId="0" borderId="0" xfId="1" applyFont="1"/>
    <xf numFmtId="1" fontId="0" fillId="0" borderId="0" xfId="1" applyNumberFormat="1" applyFont="1"/>
    <xf numFmtId="43" fontId="0" fillId="0" borderId="0" xfId="0" applyNumberFormat="1"/>
    <xf numFmtId="4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43" fontId="2" fillId="0" borderId="0" xfId="1" applyFont="1" applyAlignment="1"/>
    <xf numFmtId="9" fontId="0" fillId="0" borderId="0" xfId="1" applyNumberFormat="1" applyFont="1"/>
    <xf numFmtId="9" fontId="5" fillId="0" borderId="0" xfId="0" applyNumberFormat="1" applyFont="1"/>
    <xf numFmtId="2" fontId="0" fillId="0" borderId="0" xfId="0" applyNumberFormat="1"/>
    <xf numFmtId="0" fontId="9" fillId="0" borderId="0" xfId="2"/>
    <xf numFmtId="43" fontId="7" fillId="0" borderId="0" xfId="0" applyNumberFormat="1" applyFon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9" fillId="0" borderId="0" xfId="2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Net_Summary!$G$1</c:f>
              <c:strCache>
                <c:ptCount val="1"/>
                <c:pt idx="0">
                  <c:v>ERRs after applying adoption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Net_Summary!$A$3:$A$42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Net_Summary!$G$3:$G$42</c:f>
              <c:numCache>
                <c:formatCode>_(* #,##0.00_);_(* \(#,##0.00\);_(* "-"??_);_(@_)</c:formatCode>
                <c:ptCount val="40"/>
                <c:pt idx="0">
                  <c:v>70088.299455373912</c:v>
                </c:pt>
                <c:pt idx="1">
                  <c:v>107550.83051837824</c:v>
                </c:pt>
                <c:pt idx="2">
                  <c:v>131529.4466196342</c:v>
                </c:pt>
                <c:pt idx="3">
                  <c:v>148263.38458516309</c:v>
                </c:pt>
                <c:pt idx="4">
                  <c:v>160986.93502516754</c:v>
                </c:pt>
                <c:pt idx="5">
                  <c:v>171398.06668315869</c:v>
                </c:pt>
                <c:pt idx="6">
                  <c:v>180398.09685366438</c:v>
                </c:pt>
                <c:pt idx="7">
                  <c:v>188471.65155392152</c:v>
                </c:pt>
                <c:pt idx="8">
                  <c:v>195884.1309524916</c:v>
                </c:pt>
                <c:pt idx="9">
                  <c:v>202785.03188622033</c:v>
                </c:pt>
                <c:pt idx="10">
                  <c:v>139173.93264827193</c:v>
                </c:pt>
                <c:pt idx="11">
                  <c:v>107819.75773992833</c:v>
                </c:pt>
                <c:pt idx="12">
                  <c:v>89617.589357655976</c:v>
                </c:pt>
                <c:pt idx="13">
                  <c:v>78355.198434315884</c:v>
                </c:pt>
                <c:pt idx="14">
                  <c:v>70819.620542411765</c:v>
                </c:pt>
                <c:pt idx="15">
                  <c:v>65330.800242190933</c:v>
                </c:pt>
                <c:pt idx="16">
                  <c:v>61003.14429816608</c:v>
                </c:pt>
                <c:pt idx="17">
                  <c:v>57366.231924092142</c:v>
                </c:pt>
                <c:pt idx="18">
                  <c:v>54167.726121377127</c:v>
                </c:pt>
                <c:pt idx="19">
                  <c:v>51270.271355660014</c:v>
                </c:pt>
                <c:pt idx="20">
                  <c:v>48597.34538860176</c:v>
                </c:pt>
                <c:pt idx="21">
                  <c:v>46104.751593533932</c:v>
                </c:pt>
                <c:pt idx="22">
                  <c:v>43765.583777008374</c:v>
                </c:pt>
                <c:pt idx="23">
                  <c:v>41562.28332848975</c:v>
                </c:pt>
                <c:pt idx="24">
                  <c:v>39482.434462876357</c:v>
                </c:pt>
                <c:pt idx="25">
                  <c:v>37516.531431728443</c:v>
                </c:pt>
                <c:pt idx="26">
                  <c:v>35656.786906891975</c:v>
                </c:pt>
                <c:pt idx="27">
                  <c:v>33896.490675032335</c:v>
                </c:pt>
                <c:pt idx="28">
                  <c:v>32229.659656698594</c:v>
                </c:pt>
                <c:pt idx="29">
                  <c:v>30650.842537725166</c:v>
                </c:pt>
                <c:pt idx="30">
                  <c:v>29155.006802270796</c:v>
                </c:pt>
                <c:pt idx="31">
                  <c:v>27737.469992535349</c:v>
                </c:pt>
                <c:pt idx="32">
                  <c:v>26393.854985538321</c:v>
                </c:pt>
                <c:pt idx="33">
                  <c:v>25120.058563774473</c:v>
                </c:pt>
                <c:pt idx="34">
                  <c:v>23912.227568498784</c:v>
                </c:pt>
                <c:pt idx="35">
                  <c:v>22766.739574553321</c:v>
                </c:pt>
                <c:pt idx="36">
                  <c:v>21680.186428830544</c:v>
                </c:pt>
                <c:pt idx="37">
                  <c:v>20649.359739047624</c:v>
                </c:pt>
                <c:pt idx="38">
                  <c:v>19671.237796043377</c:v>
                </c:pt>
                <c:pt idx="39">
                  <c:v>18742.973625253169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C-8447-9B56-B6FD5BCE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631023"/>
        <c:axId val="1756241087"/>
      </c:lineChart>
      <c:catAx>
        <c:axId val="1755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41087"/>
        <c:crosses val="autoZero"/>
        <c:auto val="1"/>
        <c:lblAlgn val="ctr"/>
        <c:lblOffset val="100"/>
        <c:noMultiLvlLbl val="0"/>
      </c:catAx>
      <c:valAx>
        <c:axId val="17562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3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Summary_Removals!$B$5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Summary_Removals!$B$6:$B$45</c:f>
              <c:numCache>
                <c:formatCode>_(* #,##0.00_);_(* \(#,##0.00\);_(* "-"??_);_(@_)</c:formatCode>
                <c:ptCount val="40"/>
                <c:pt idx="0">
                  <c:v>182181.98348570865</c:v>
                </c:pt>
                <c:pt idx="1">
                  <c:v>103237.57152406669</c:v>
                </c:pt>
                <c:pt idx="2">
                  <c:v>70500.281215553958</c:v>
                </c:pt>
                <c:pt idx="3">
                  <c:v>52780.463343848314</c:v>
                </c:pt>
                <c:pt idx="4">
                  <c:v>42850.266455065386</c:v>
                </c:pt>
                <c:pt idx="5">
                  <c:v>37011.834326432792</c:v>
                </c:pt>
                <c:pt idx="6">
                  <c:v>33346.181697903157</c:v>
                </c:pt>
                <c:pt idx="7">
                  <c:v>30848.938282674262</c:v>
                </c:pt>
                <c:pt idx="8">
                  <c:v>28991.54193059056</c:v>
                </c:pt>
                <c:pt idx="9">
                  <c:v>27494.636060497036</c:v>
                </c:pt>
                <c:pt idx="10">
                  <c:v>26209.899834324555</c:v>
                </c:pt>
                <c:pt idx="11">
                  <c:v>25058.081107860336</c:v>
                </c:pt>
                <c:pt idx="12">
                  <c:v>23996.399119737838</c:v>
                </c:pt>
                <c:pt idx="13">
                  <c:v>23001.365711598715</c:v>
                </c:pt>
                <c:pt idx="14">
                  <c:v>22059.72197161775</c:v>
                </c:pt>
                <c:pt idx="15">
                  <c:v>21163.652650141656</c:v>
                </c:pt>
                <c:pt idx="16">
                  <c:v>20308.257393477852</c:v>
                </c:pt>
                <c:pt idx="17">
                  <c:v>19490.21324293923</c:v>
                </c:pt>
                <c:pt idx="18">
                  <c:v>18707.066190035388</c:v>
                </c:pt>
                <c:pt idx="19">
                  <c:v>17956.855028966031</c:v>
                </c:pt>
                <c:pt idx="20">
                  <c:v>17237.910820904566</c:v>
                </c:pt>
                <c:pt idx="21">
                  <c:v>16548.749224637701</c:v>
                </c:pt>
                <c:pt idx="22">
                  <c:v>15888.011987240236</c:v>
                </c:pt>
                <c:pt idx="23">
                  <c:v>15254.434503747234</c:v>
                </c:pt>
                <c:pt idx="24">
                  <c:v>14646.827242332451</c:v>
                </c:pt>
                <c:pt idx="25">
                  <c:v>14064.064582307677</c:v>
                </c:pt>
                <c:pt idx="26">
                  <c:v>13505.077650149196</c:v>
                </c:pt>
                <c:pt idx="27">
                  <c:v>12968.849343983828</c:v>
                </c:pt>
                <c:pt idx="28">
                  <c:v>12454.410585231792</c:v>
                </c:pt>
                <c:pt idx="29">
                  <c:v>11960.83728473376</c:v>
                </c:pt>
                <c:pt idx="30">
                  <c:v>11487.247747942945</c:v>
                </c:pt>
                <c:pt idx="31">
                  <c:v>11032.800369579911</c:v>
                </c:pt>
                <c:pt idx="32">
                  <c:v>10596.691534825117</c:v>
                </c:pt>
                <c:pt idx="33">
                  <c:v>10178.153679716594</c:v>
                </c:pt>
                <c:pt idx="34">
                  <c:v>9776.4534824453331</c:v>
                </c:pt>
                <c:pt idx="35">
                  <c:v>9390.8901675760953</c:v>
                </c:pt>
                <c:pt idx="36">
                  <c:v>9020.7939108569626</c:v>
                </c:pt>
                <c:pt idx="37">
                  <c:v>8665.5243355317671</c:v>
                </c:pt>
                <c:pt idx="38">
                  <c:v>8324.4690929019853</c:v>
                </c:pt>
                <c:pt idx="39">
                  <c:v>7997.04252107916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Summary_Removals!$C$5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Summary_Removals!$C$6:$C$45</c:f>
              <c:numCache>
                <c:formatCode>_(* #,##0.00_);_(* \(#,##0.00\);_(* "-"??_);_(@_)</c:formatCode>
                <c:ptCount val="40"/>
                <c:pt idx="0">
                  <c:v>182926.63684540731</c:v>
                </c:pt>
                <c:pt idx="1">
                  <c:v>103660.46958255726</c:v>
                </c:pt>
                <c:pt idx="2">
                  <c:v>70790.49479387005</c:v>
                </c:pt>
                <c:pt idx="3">
                  <c:v>52999.420088755607</c:v>
                </c:pt>
                <c:pt idx="4">
                  <c:v>43029.764923574912</c:v>
                </c:pt>
                <c:pt idx="5">
                  <c:v>37168.523961605424</c:v>
                </c:pt>
                <c:pt idx="6">
                  <c:v>33488.858491134131</c:v>
                </c:pt>
                <c:pt idx="7">
                  <c:v>30982.293630844706</c:v>
                </c:pt>
                <c:pt idx="8">
                  <c:v>29118.111241642273</c:v>
                </c:pt>
                <c:pt idx="9">
                  <c:v>27615.818310114057</c:v>
                </c:pt>
                <c:pt idx="10">
                  <c:v>26326.493049042074</c:v>
                </c:pt>
                <c:pt idx="11">
                  <c:v>25170.564246184058</c:v>
                </c:pt>
                <c:pt idx="12">
                  <c:v>24105.080681962794</c:v>
                </c:pt>
                <c:pt idx="13">
                  <c:v>23106.462189031379</c:v>
                </c:pt>
                <c:pt idx="14">
                  <c:v>22161.399320135301</c:v>
                </c:pt>
                <c:pt idx="15">
                  <c:v>21262.048262910164</c:v>
                </c:pt>
                <c:pt idx="16">
                  <c:v>20403.491782770168</c:v>
                </c:pt>
                <c:pt idx="17">
                  <c:v>19582.39628766416</c:v>
                </c:pt>
                <c:pt idx="18">
                  <c:v>18796.300510934041</c:v>
                </c:pt>
                <c:pt idx="19">
                  <c:v>18043.23784340997</c:v>
                </c:pt>
                <c:pt idx="20">
                  <c:v>17321.534990945183</c:v>
                </c:pt>
                <c:pt idx="21">
                  <c:v>16629.703875206225</c:v>
                </c:pt>
                <c:pt idx="22">
                  <c:v>15966.382893701679</c:v>
                </c:pt>
                <c:pt idx="23">
                  <c:v>15330.304354208107</c:v>
                </c:pt>
                <c:pt idx="24">
                  <c:v>14720.275830585188</c:v>
                </c:pt>
                <c:pt idx="25">
                  <c:v>14135.168961144062</c:v>
                </c:pt>
                <c:pt idx="26">
                  <c:v>13573.912260941999</c:v>
                </c:pt>
                <c:pt idx="27">
                  <c:v>13035.48613113455</c:v>
                </c:pt>
                <c:pt idx="28">
                  <c:v>12518.919100194573</c:v>
                </c:pt>
                <c:pt idx="29">
                  <c:v>12023.284782272305</c:v>
                </c:pt>
                <c:pt idx="30">
                  <c:v>11547.699276182195</c:v>
                </c:pt>
                <c:pt idx="31">
                  <c:v>11091.318854799905</c:v>
                </c:pt>
                <c:pt idx="32">
                  <c:v>10653.337861649305</c:v>
                </c:pt>
                <c:pt idx="33">
                  <c:v>10232.986767141421</c:v>
                </c:pt>
                <c:pt idx="34">
                  <c:v>9829.5303560688535</c:v>
                </c:pt>
                <c:pt idx="35">
                  <c:v>9442.2660283100086</c:v>
                </c:pt>
                <c:pt idx="36">
                  <c:v>9070.5222003711788</c:v>
                </c:pt>
                <c:pt idx="37">
                  <c:v>8713.6567986507835</c:v>
                </c:pt>
                <c:pt idx="38">
                  <c:v>8371.0558371421248</c:v>
                </c:pt>
                <c:pt idx="39">
                  <c:v>8042.1320735183417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Summary_Removals!$D$5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Summary_Removals!$D$6:$D$45</c:f>
              <c:numCache>
                <c:formatCode>_(* #,##0.00_);_(* \(#,##0.00\);_(* "-"??_);_(@_)</c:formatCode>
                <c:ptCount val="40"/>
                <c:pt idx="0">
                  <c:v>293852.47100765549</c:v>
                </c:pt>
                <c:pt idx="1">
                  <c:v>154483.80788139781</c:v>
                </c:pt>
                <c:pt idx="2">
                  <c:v>97119.403974104367</c:v>
                </c:pt>
                <c:pt idx="3">
                  <c:v>66493.779851270898</c:v>
                </c:pt>
                <c:pt idx="4">
                  <c:v>49706.643740710497</c:v>
                </c:pt>
                <c:pt idx="5">
                  <c:v>40166.661929896138</c:v>
                </c:pt>
                <c:pt idx="6">
                  <c:v>34459.223887246808</c:v>
                </c:pt>
                <c:pt idx="7">
                  <c:v>30800.578502703233</c:v>
                </c:pt>
                <c:pt idx="8">
                  <c:v>28253.838852825902</c:v>
                </c:pt>
                <c:pt idx="9">
                  <c:v>26324.807383370891</c:v>
                </c:pt>
                <c:pt idx="10">
                  <c:v>24751.614772213681</c:v>
                </c:pt>
                <c:pt idx="11">
                  <c:v>23394.631636197359</c:v>
                </c:pt>
                <c:pt idx="12">
                  <c:v>22178.673102410852</c:v>
                </c:pt>
                <c:pt idx="13">
                  <c:v>21062.598927158389</c:v>
                </c:pt>
                <c:pt idx="14">
                  <c:v>20023.303398168242</c:v>
                </c:pt>
                <c:pt idx="15">
                  <c:v>19047.275253839292</c:v>
                </c:pt>
                <c:pt idx="16">
                  <c:v>18126.143756416423</c:v>
                </c:pt>
                <c:pt idx="17">
                  <c:v>17254.325143942679</c:v>
                </c:pt>
                <c:pt idx="18">
                  <c:v>16427.776415639775</c:v>
                </c:pt>
                <c:pt idx="19">
                  <c:v>15643.333244722035</c:v>
                </c:pt>
                <c:pt idx="20">
                  <c:v>14898.356251071726</c:v>
                </c:pt>
                <c:pt idx="21">
                  <c:v>14190.540235111479</c:v>
                </c:pt>
                <c:pt idx="22">
                  <c:v>13517.809683706942</c:v>
                </c:pt>
                <c:pt idx="23">
                  <c:v>12878.260080630369</c:v>
                </c:pt>
                <c:pt idx="24">
                  <c:v>12270.123653674962</c:v>
                </c:pt>
                <c:pt idx="25">
                  <c:v>11691.748264168367</c:v>
                </c:pt>
                <c:pt idx="26">
                  <c:v>11141.583459457866</c:v>
                </c:pt>
                <c:pt idx="27">
                  <c:v>10618.170514207672</c:v>
                </c:pt>
                <c:pt idx="28">
                  <c:v>10120.134767941989</c:v>
                </c:pt>
                <c:pt idx="29">
                  <c:v>9646.1793496124137</c:v>
                </c:pt>
                <c:pt idx="30">
                  <c:v>9195.0797947728934</c:v>
                </c:pt>
                <c:pt idx="31">
                  <c:v>8765.6792811249579</c:v>
                </c:pt>
                <c:pt idx="32">
                  <c:v>8356.8843257230928</c:v>
                </c:pt>
                <c:pt idx="33">
                  <c:v>7967.6608501583923</c:v>
                </c:pt>
                <c:pt idx="34">
                  <c:v>7597.0305543545828</c:v>
                </c:pt>
                <c:pt idx="35">
                  <c:v>7244.0675586165662</c:v>
                </c:pt>
                <c:pt idx="36">
                  <c:v>6907.8952843840671</c:v>
                </c:pt>
                <c:pt idx="37">
                  <c:v>6587.6835506002399</c:v>
                </c:pt>
                <c:pt idx="38">
                  <c:v>6282.6458666787858</c:v>
                </c:pt>
                <c:pt idx="39">
                  <c:v>5992.0369057484895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Summary_Removals!$E$5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Summary_Removals!$E$6:$E$45</c:f>
              <c:numCache>
                <c:formatCode>_(* #,##0.00_);_(* \(#,##0.00\);_(* "-"??_);_(@_)</c:formatCode>
                <c:ptCount val="40"/>
                <c:pt idx="0">
                  <c:v>597779.32853249332</c:v>
                </c:pt>
                <c:pt idx="1">
                  <c:v>313610.94121317234</c:v>
                </c:pt>
                <c:pt idx="2">
                  <c:v>196147.62538190183</c:v>
                </c:pt>
                <c:pt idx="3">
                  <c:v>133069.60136381543</c:v>
                </c:pt>
                <c:pt idx="4">
                  <c:v>98192.793756630184</c:v>
                </c:pt>
                <c:pt idx="5">
                  <c:v>78130.548728042835</c:v>
                </c:pt>
                <c:pt idx="6">
                  <c:v>65940.904703421926</c:v>
                </c:pt>
                <c:pt idx="7">
                  <c:v>57992.097235869296</c:v>
                </c:pt>
                <c:pt idx="8">
                  <c:v>52372.539340622607</c:v>
                </c:pt>
                <c:pt idx="9">
                  <c:v>48070.702410939186</c:v>
                </c:pt>
                <c:pt idx="10">
                  <c:v>44547.97599131403</c:v>
                </c:pt>
                <c:pt idx="11">
                  <c:v>41514.952167199583</c:v>
                </c:pt>
                <c:pt idx="12">
                  <c:v>38813.87024049896</c:v>
                </c:pt>
                <c:pt idx="13">
                  <c:v>36356.720668503527</c:v>
                </c:pt>
                <c:pt idx="14">
                  <c:v>34092.609001256606</c:v>
                </c:pt>
                <c:pt idx="15">
                  <c:v>31990.526160100631</c:v>
                </c:pt>
                <c:pt idx="16">
                  <c:v>30030.238833189109</c:v>
                </c:pt>
                <c:pt idx="17">
                  <c:v>28197.4628490014</c:v>
                </c:pt>
                <c:pt idx="18">
                  <c:v>26481.297154278411</c:v>
                </c:pt>
                <c:pt idx="19">
                  <c:v>24872.851923308775</c:v>
                </c:pt>
                <c:pt idx="20">
                  <c:v>23364.508169636923</c:v>
                </c:pt>
                <c:pt idx="21">
                  <c:v>21949.51191875833</c:v>
                </c:pt>
                <c:pt idx="22">
                  <c:v>20621.746147718313</c:v>
                </c:pt>
                <c:pt idx="23">
                  <c:v>19375.597643938738</c:v>
                </c:pt>
                <c:pt idx="24">
                  <c:v>18205.8749625907</c:v>
                </c:pt>
                <c:pt idx="25">
                  <c:v>17107.75426603479</c:v>
                </c:pt>
                <c:pt idx="26">
                  <c:v>16076.740711590444</c:v>
                </c:pt>
                <c:pt idx="27">
                  <c:v>15108.638805422137</c:v>
                </c:pt>
                <c:pt idx="28">
                  <c:v>14199.528183453229</c:v>
                </c:pt>
                <c:pt idx="29">
                  <c:v>13345.742892580016</c:v>
                </c:pt>
                <c:pt idx="30">
                  <c:v>12543.853102456715</c:v>
                </c:pt>
                <c:pt idx="31">
                  <c:v>11790.648635285186</c:v>
                </c:pt>
                <c:pt idx="32">
                  <c:v>11083.123946929411</c:v>
                </c:pt>
                <c:pt idx="33">
                  <c:v>10418.464326561254</c:v>
                </c:pt>
                <c:pt idx="34">
                  <c:v>9794.0331560188533</c:v>
                </c:pt>
                <c:pt idx="35">
                  <c:v>9207.3601125987752</c:v>
                </c:pt>
                <c:pt idx="36">
                  <c:v>8656.1302241499543</c:v>
                </c:pt>
                <c:pt idx="37">
                  <c:v>8138.1737011954974</c:v>
                </c:pt>
                <c:pt idx="38">
                  <c:v>7651.4564816848215</c:v>
                </c:pt>
                <c:pt idx="39">
                  <c:v>7194.0714315191572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Summary_Removals!$F$5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Summary_Removals!$F$6:$F$45</c:f>
              <c:numCache>
                <c:formatCode>_(* #,##0.00_);_(* \(#,##0.00\);_(* "-"??_);_(@_)</c:formatCode>
                <c:ptCount val="40"/>
                <c:pt idx="0">
                  <c:v>385462.42088076117</c:v>
                </c:pt>
                <c:pt idx="1">
                  <c:v>202244.78929949357</c:v>
                </c:pt>
                <c:pt idx="2">
                  <c:v>126527.02004971547</c:v>
                </c:pt>
                <c:pt idx="3">
                  <c:v>85878.064032939481</c:v>
                </c:pt>
                <c:pt idx="4">
                  <c:v>63411.671632915975</c:v>
                </c:pt>
                <c:pt idx="5">
                  <c:v>50495.07726014591</c:v>
                </c:pt>
                <c:pt idx="6">
                  <c:v>42651.862245046214</c:v>
                </c:pt>
                <c:pt idx="7">
                  <c:v>37540.369087818421</c:v>
                </c:pt>
                <c:pt idx="8">
                  <c:v>33928.238300675148</c:v>
                </c:pt>
                <c:pt idx="9">
                  <c:v>31163.499760722858</c:v>
                </c:pt>
                <c:pt idx="10">
                  <c:v>28899.114128615496</c:v>
                </c:pt>
                <c:pt idx="11">
                  <c:v>26948.707709164519</c:v>
                </c:pt>
                <c:pt idx="12">
                  <c:v>25210.769860866581</c:v>
                </c:pt>
                <c:pt idx="13">
                  <c:v>23628.743356903222</c:v>
                </c:pt>
                <c:pt idx="14">
                  <c:v>22169.982740248615</c:v>
                </c:pt>
                <c:pt idx="15">
                  <c:v>20814.646804785887</c:v>
                </c:pt>
                <c:pt idx="16">
                  <c:v>19549.826714353527</c:v>
                </c:pt>
                <c:pt idx="17">
                  <c:v>18366.435510056719</c:v>
                </c:pt>
                <c:pt idx="18">
                  <c:v>17257.555005902399</c:v>
                </c:pt>
                <c:pt idx="19">
                  <c:v>16217.552456934549</c:v>
                </c:pt>
                <c:pt idx="20">
                  <c:v>15241.604259053349</c:v>
                </c:pt>
                <c:pt idx="21">
                  <c:v>14325.435245533636</c:v>
                </c:pt>
                <c:pt idx="22">
                  <c:v>13465.172503530517</c:v>
                </c:pt>
                <c:pt idx="23">
                  <c:v>12657.260307748915</c:v>
                </c:pt>
                <c:pt idx="24">
                  <c:v>11898.407928330145</c:v>
                </c:pt>
                <c:pt idx="25">
                  <c:v>11185.555352427215</c:v>
                </c:pt>
                <c:pt idx="26">
                  <c:v>10515.848974000479</c:v>
                </c:pt>
                <c:pt idx="27">
                  <c:v>9886.6230135419592</c:v>
                </c:pt>
                <c:pt idx="28">
                  <c:v>9295.3843906427355</c:v>
                </c:pt>
                <c:pt idx="29">
                  <c:v>8739.7998112745972</c:v>
                </c:pt>
                <c:pt idx="30">
                  <c:v>8217.6843837537417</c:v>
                </c:pt>
                <c:pt idx="31">
                  <c:v>7726.9913716941683</c:v>
                </c:pt>
                <c:pt idx="32">
                  <c:v>7265.802850474608</c:v>
                </c:pt>
                <c:pt idx="33">
                  <c:v>6832.3211198294493</c:v>
                </c:pt>
                <c:pt idx="34">
                  <c:v>6424.860772595549</c:v>
                </c:pt>
                <c:pt idx="35">
                  <c:v>6041.8413468949102</c:v>
                </c:pt>
                <c:pt idx="36">
                  <c:v>5681.7805050114284</c:v>
                </c:pt>
                <c:pt idx="37">
                  <c:v>5343.2876923489066</c:v>
                </c:pt>
                <c:pt idx="38">
                  <c:v>5025.0582366475355</c:v>
                </c:pt>
                <c:pt idx="39">
                  <c:v>4725.8678523779299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Summary_Removals!$H$5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Summary_Removals!$A$6:$A$45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Summary_Removals!$H$6:$H$45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438618.78975034383</c:v>
                </c:pt>
                <c:pt idx="2">
                  <c:v>280542.4127075728</c:v>
                </c:pt>
                <c:pt idx="3">
                  <c:v>195610.66434031486</c:v>
                </c:pt>
                <c:pt idx="4">
                  <c:v>148595.57025444848</c:v>
                </c:pt>
                <c:pt idx="5">
                  <c:v>121486.32310306156</c:v>
                </c:pt>
                <c:pt idx="6">
                  <c:v>104943.51551237612</c:v>
                </c:pt>
                <c:pt idx="7">
                  <c:v>94082.138369954962</c:v>
                </c:pt>
                <c:pt idx="8">
                  <c:v>86332.13483317825</c:v>
                </c:pt>
                <c:pt idx="9">
                  <c:v>80334.731962822014</c:v>
                </c:pt>
                <c:pt idx="10">
                  <c:v>75367.548887754921</c:v>
                </c:pt>
                <c:pt idx="11">
                  <c:v>71043.468433302914</c:v>
                </c:pt>
                <c:pt idx="12">
                  <c:v>67152.396502738513</c:v>
                </c:pt>
                <c:pt idx="13">
                  <c:v>63577.945426597624</c:v>
                </c:pt>
                <c:pt idx="14">
                  <c:v>60253.508215713257</c:v>
                </c:pt>
                <c:pt idx="15">
                  <c:v>57139.074565888819</c:v>
                </c:pt>
                <c:pt idx="16">
                  <c:v>54208.979240103537</c:v>
                </c:pt>
                <c:pt idx="17">
                  <c:v>51445.416516802092</c:v>
                </c:pt>
                <c:pt idx="18">
                  <c:v>48834.997638395005</c:v>
                </c:pt>
                <c:pt idx="19">
                  <c:v>46366.915248670673</c:v>
                </c:pt>
                <c:pt idx="20">
                  <c:v>44031.957245805876</c:v>
                </c:pt>
                <c:pt idx="21">
                  <c:v>41821.970249623686</c:v>
                </c:pt>
                <c:pt idx="22">
                  <c:v>39729.561607948839</c:v>
                </c:pt>
                <c:pt idx="23">
                  <c:v>37747.928445136684</c:v>
                </c:pt>
                <c:pt idx="24">
                  <c:v>35870.754808756719</c:v>
                </c:pt>
                <c:pt idx="25">
                  <c:v>34092.145713041056</c:v>
                </c:pt>
                <c:pt idx="26">
                  <c:v>32406.58152806999</c:v>
                </c:pt>
                <c:pt idx="27">
                  <c:v>30808.883904145074</c:v>
                </c:pt>
                <c:pt idx="28">
                  <c:v>29294.188513732159</c:v>
                </c:pt>
                <c:pt idx="29">
                  <c:v>27857.922060236546</c:v>
                </c:pt>
                <c:pt idx="30">
                  <c:v>26495.782152554246</c:v>
                </c:pt>
                <c:pt idx="31">
                  <c:v>25203.719256242061</c:v>
                </c:pt>
                <c:pt idx="32">
                  <c:v>23977.920259800765</c:v>
                </c:pt>
                <c:pt idx="33">
                  <c:v>22814.793371703556</c:v>
                </c:pt>
                <c:pt idx="34">
                  <c:v>21710.954160741589</c:v>
                </c:pt>
                <c:pt idx="35">
                  <c:v>20663.212606998179</c:v>
                </c:pt>
                <c:pt idx="36">
                  <c:v>19668.561062386794</c:v>
                </c:pt>
                <c:pt idx="37">
                  <c:v>18724.163039163599</c:v>
                </c:pt>
                <c:pt idx="38">
                  <c:v>17827.342757527626</c:v>
                </c:pt>
                <c:pt idx="39">
                  <c:v>16975.57539212154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Summary_Reductions!$H$7</c:f>
              <c:strCache>
                <c:ptCount val="1"/>
                <c:pt idx="0">
                  <c:v>  Net Total Project ERs (QA3)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Summary_Reductions!$A$8:$A$47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Summary_Reductions!$H$8:$H$47</c:f>
              <c:numCache>
                <c:formatCode>0.00</c:formatCode>
                <c:ptCount val="40"/>
                <c:pt idx="0">
                  <c:v>483.48297300000007</c:v>
                </c:pt>
                <c:pt idx="1">
                  <c:v>483.48297300000007</c:v>
                </c:pt>
                <c:pt idx="2">
                  <c:v>483.48297300000007</c:v>
                </c:pt>
                <c:pt idx="3">
                  <c:v>483.48297300000007</c:v>
                </c:pt>
                <c:pt idx="4">
                  <c:v>483.48297300000007</c:v>
                </c:pt>
                <c:pt idx="5">
                  <c:v>483.48297300000007</c:v>
                </c:pt>
                <c:pt idx="6">
                  <c:v>483.48297300000007</c:v>
                </c:pt>
                <c:pt idx="7">
                  <c:v>483.48297300000007</c:v>
                </c:pt>
                <c:pt idx="8">
                  <c:v>483.48297300000007</c:v>
                </c:pt>
                <c:pt idx="9">
                  <c:v>483.48297300000007</c:v>
                </c:pt>
                <c:pt idx="10">
                  <c:v>483.48297300000007</c:v>
                </c:pt>
                <c:pt idx="11">
                  <c:v>483.48297300000007</c:v>
                </c:pt>
                <c:pt idx="12">
                  <c:v>483.48297300000007</c:v>
                </c:pt>
                <c:pt idx="13">
                  <c:v>483.48297300000007</c:v>
                </c:pt>
                <c:pt idx="14">
                  <c:v>483.48297300000007</c:v>
                </c:pt>
                <c:pt idx="15">
                  <c:v>483.48297300000007</c:v>
                </c:pt>
                <c:pt idx="16">
                  <c:v>483.48297300000007</c:v>
                </c:pt>
                <c:pt idx="17">
                  <c:v>483.48297300000007</c:v>
                </c:pt>
                <c:pt idx="18">
                  <c:v>483.48297300000007</c:v>
                </c:pt>
                <c:pt idx="19">
                  <c:v>483.48297300000007</c:v>
                </c:pt>
                <c:pt idx="20">
                  <c:v>483.48297300000007</c:v>
                </c:pt>
                <c:pt idx="21">
                  <c:v>483.48297300000007</c:v>
                </c:pt>
                <c:pt idx="22">
                  <c:v>483.48297300000007</c:v>
                </c:pt>
                <c:pt idx="23">
                  <c:v>483.48297300000007</c:v>
                </c:pt>
                <c:pt idx="24">
                  <c:v>483.48297300000007</c:v>
                </c:pt>
                <c:pt idx="25">
                  <c:v>483.48297300000007</c:v>
                </c:pt>
                <c:pt idx="26">
                  <c:v>483.48297300000007</c:v>
                </c:pt>
                <c:pt idx="27">
                  <c:v>483.48297300000007</c:v>
                </c:pt>
                <c:pt idx="28">
                  <c:v>483.48297300000007</c:v>
                </c:pt>
                <c:pt idx="29">
                  <c:v>483.48297300000007</c:v>
                </c:pt>
                <c:pt idx="30">
                  <c:v>483.48297300000007</c:v>
                </c:pt>
                <c:pt idx="31">
                  <c:v>483.48297300000007</c:v>
                </c:pt>
                <c:pt idx="32">
                  <c:v>483.48297300000007</c:v>
                </c:pt>
                <c:pt idx="33">
                  <c:v>483.48297300000007</c:v>
                </c:pt>
                <c:pt idx="34">
                  <c:v>483.48297300000007</c:v>
                </c:pt>
                <c:pt idx="35">
                  <c:v>483.48297300000007</c:v>
                </c:pt>
                <c:pt idx="36">
                  <c:v>483.48297300000007</c:v>
                </c:pt>
                <c:pt idx="37">
                  <c:v>483.48297300000007</c:v>
                </c:pt>
                <c:pt idx="38">
                  <c:v>483.48297300000007</c:v>
                </c:pt>
                <c:pt idx="39">
                  <c:v>483.48297300000007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F046-91FB-9CD4AC8B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822943"/>
        <c:axId val="1773808671"/>
      </c:scatterChart>
      <c:valAx>
        <c:axId val="75082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08671"/>
        <c:crosses val="autoZero"/>
        <c:crossBetween val="midCat"/>
      </c:valAx>
      <c:valAx>
        <c:axId val="17738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2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40y</a:t>
            </a:r>
            <a:r>
              <a:rPr lang="en-US" baseline="0"/>
              <a:t> </a:t>
            </a:r>
            <a:r>
              <a:rPr lang="en-US"/>
              <a:t>ERs,</a:t>
            </a:r>
            <a:r>
              <a:rPr lang="en-US" baseline="0"/>
              <a:t> w/ +5 coops/y during 1st 10y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6A-E149-BCC4-1A569F9E18DE}"/>
            </c:ext>
          </c:extLst>
        </c:ser>
        <c:ser>
          <c:idx val="3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6A-E149-BCC4-1A569F9E18DE}"/>
            </c:ext>
          </c:extLst>
        </c:ser>
        <c:ser>
          <c:idx val="1"/>
          <c:order val="2"/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6A-E149-BCC4-1A569F9E18DE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Additional_Coop_Projections!$A$3:$A$42</c:f>
              <c:numCache>
                <c:formatCode>General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Additional_Coop_Projections!$L$3:$L$42</c:f>
              <c:numCache>
                <c:formatCode>_(* #,##0.00_);_(* \(#,##0.00\);_(* "-"??_);_(@_)</c:formatCode>
                <c:ptCount val="40"/>
                <c:pt idx="0">
                  <c:v>821101.42037601292</c:v>
                </c:pt>
                <c:pt idx="1">
                  <c:v>1259720.2101263567</c:v>
                </c:pt>
                <c:pt idx="2">
                  <c:v>1540262.6228339295</c:v>
                </c:pt>
                <c:pt idx="3">
                  <c:v>1735873.2871742444</c:v>
                </c:pt>
                <c:pt idx="4">
                  <c:v>1884468.8574286927</c:v>
                </c:pt>
                <c:pt idx="5">
                  <c:v>2005955.1805317546</c:v>
                </c:pt>
                <c:pt idx="6">
                  <c:v>2110898.6960441307</c:v>
                </c:pt>
                <c:pt idx="7">
                  <c:v>2204980.8344140854</c:v>
                </c:pt>
                <c:pt idx="8">
                  <c:v>2291312.9692472639</c:v>
                </c:pt>
                <c:pt idx="9">
                  <c:v>2371647.7012100858</c:v>
                </c:pt>
                <c:pt idx="10">
                  <c:v>1625913.8297218278</c:v>
                </c:pt>
                <c:pt idx="11">
                  <c:v>1258338.5084047869</c:v>
                </c:pt>
                <c:pt idx="12">
                  <c:v>1044948.4921999525</c:v>
                </c:pt>
                <c:pt idx="13">
                  <c:v>912915.77328623529</c:v>
                </c:pt>
                <c:pt idx="14">
                  <c:v>824573.71124750015</c:v>
                </c:pt>
                <c:pt idx="15">
                  <c:v>760226.46271032747</c:v>
                </c:pt>
                <c:pt idx="16">
                  <c:v>709491.92643805488</c:v>
                </c:pt>
                <c:pt idx="17">
                  <c:v>666855.20458490192</c:v>
                </c:pt>
                <c:pt idx="18">
                  <c:v>629358.06739011873</c:v>
                </c:pt>
                <c:pt idx="19">
                  <c:v>595390.25067596731</c:v>
                </c:pt>
                <c:pt idx="20">
                  <c:v>564054.65903401829</c:v>
                </c:pt>
                <c:pt idx="21">
                  <c:v>534833.1608503391</c:v>
                </c:pt>
                <c:pt idx="22">
                  <c:v>507410.32595554943</c:v>
                </c:pt>
                <c:pt idx="23">
                  <c:v>481580.30897408846</c:v>
                </c:pt>
                <c:pt idx="24">
                  <c:v>457197.55556713196</c:v>
                </c:pt>
                <c:pt idx="25">
                  <c:v>434150.62671428418</c:v>
                </c:pt>
                <c:pt idx="26">
                  <c:v>412348.22900225065</c:v>
                </c:pt>
                <c:pt idx="27">
                  <c:v>391711.69638959365</c:v>
                </c:pt>
                <c:pt idx="28">
                  <c:v>372170.88726493082</c:v>
                </c:pt>
                <c:pt idx="29">
                  <c:v>353661.89407649665</c:v>
                </c:pt>
                <c:pt idx="30">
                  <c:v>336125.71898324502</c:v>
                </c:pt>
                <c:pt idx="31">
                  <c:v>319507.46798986342</c:v>
                </c:pt>
                <c:pt idx="32">
                  <c:v>303755.82664171531</c:v>
                </c:pt>
                <c:pt idx="33">
                  <c:v>288822.69156828214</c:v>
                </c:pt>
                <c:pt idx="34">
                  <c:v>274662.89092026703</c:v>
                </c:pt>
                <c:pt idx="35">
                  <c:v>261233.95781422418</c:v>
                </c:pt>
                <c:pt idx="36">
                  <c:v>248495.93734854099</c:v>
                </c:pt>
                <c:pt idx="37">
                  <c:v>236411.21648355952</c:v>
                </c:pt>
                <c:pt idx="38">
                  <c:v>224944.37072735498</c:v>
                </c:pt>
                <c:pt idx="39">
                  <c:v>214062.02405923998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6A-E149-BCC4-1A569F9E1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626832"/>
        <c:axId val="1626628544"/>
      </c:lineChart>
      <c:catAx>
        <c:axId val="16266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8544"/>
        <c:crosses val="autoZero"/>
        <c:auto val="1"/>
        <c:lblAlgn val="ctr"/>
        <c:lblOffset val="100"/>
        <c:noMultiLvlLbl val="0"/>
      </c:catAx>
      <c:valAx>
        <c:axId val="16266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26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663325</xdr:colOff>
      <xdr:row>3</xdr:row>
      <xdr:rowOff>182957</xdr:rowOff>
    </xdr:from>
    <xdr:to>
      <xdr:col>23</xdr:col>
      <xdr:colOff>94331</xdr:colOff>
      <xdr:row>17</xdr:row>
      <xdr:rowOff>82035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5423D-C7CD-1788-7CEB-C21C4B63D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445932</xdr:colOff>
      <xdr:row>1</xdr:row>
      <xdr:rowOff>107260</xdr:rowOff>
    </xdr:from>
    <xdr:to>
      <xdr:col>19</xdr:col>
      <xdr:colOff>59892</xdr:colOff>
      <xdr:row>15</xdr:row>
      <xdr:rowOff>23586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319314</xdr:colOff>
      <xdr:row>18</xdr:row>
      <xdr:rowOff>98122</xdr:rowOff>
    </xdr:from>
    <xdr:to>
      <xdr:col>18</xdr:col>
      <xdr:colOff>763813</xdr:colOff>
      <xdr:row>31</xdr:row>
      <xdr:rowOff>198815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406041</xdr:colOff>
      <xdr:row>27</xdr:row>
      <xdr:rowOff>68330</xdr:rowOff>
    </xdr:from>
    <xdr:to>
      <xdr:col>14</xdr:col>
      <xdr:colOff>41140</xdr:colOff>
      <xdr:row>40</xdr:row>
      <xdr:rowOff>137375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B6CC6-B4FD-E787-58F8-B8AE0622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489865</xdr:colOff>
      <xdr:row>3</xdr:row>
      <xdr:rowOff>51835</xdr:rowOff>
    </xdr:from>
    <xdr:to>
      <xdr:col>16</xdr:col>
      <xdr:colOff>388265</xdr:colOff>
      <xdr:row>16</xdr:row>
      <xdr:rowOff>158238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D128A-01B6-038B-5F8B-DC67F6443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dre, Mihir Y" id="{8218466F-29F2-9E46-91A3-668DA1A57351}" userId="S::myb358@my.utexas.edu::5603340f-c1e2-4a78-972e-9f726e0204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6-06-25T23:42:14.87" personId="{8218466F-29F2-9E46-91A3-668DA1A57351}" id="{51D8FB6B-0583-8244-BA62-9F39A23EDA91}">
    <text>At this stage the ERRs are mostly coming from soil carbon sequestration, from organic fertilizer addition.</text>
  </threadedComment>
  <threadedComment ref="C9" dT="2026-06-25T23:44:19.48" personId="{8218466F-29F2-9E46-91A3-668DA1A57351}" id="{24AEF77C-7D5D-154B-8BEF-C9A219B02913}" parentId="{51D8FB6B-0583-8244-BA62-9F39A23EDA91}">
    <text>These ERRs are coming from maintaining SOC at current levels, not increasing from current levels.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dpi.com/2073-445X/9/10/38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epa.gov/system/files/documents/2023-12/warm_organic_materials_v16_dec.pdf" TargetMode="External"/><Relationship Id="rId1" Type="http://schemas.openxmlformats.org/officeDocument/2006/relationships/hyperlink" Target="https://www.mdpi.com/2311-5629/9/3/67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460-226A-484F-A8DD-FFF53BF916A1}">
  <dimension ref="A1:R44"/>
  <sheetViews>
    <sheetView tabSelected="1" zoomScale="193" workbookViewId="0">
      <selection activeCell="C17" sqref="C17"/>
    </sheetView>
  </sheetViews>
  <sheetFormatPr baseColWidth="10" defaultRowHeight="16"/>
  <cols>
    <col min="2" max="2" width="14.1640625" style="1" customWidth="1"/>
    <col min="3" max="3" width="13.33203125" style="1" customWidth="1"/>
    <col min="4" max="4" width="10.83203125" customWidth="1"/>
    <col min="5" max="6" width="14.83203125" customWidth="1"/>
    <col min="7" max="7" width="17.83203125" customWidth="1"/>
    <col min="8" max="8" width="13.5" bestFit="1" customWidth="1"/>
    <col min="9" max="9" width="13" hidden="1" customWidth="1"/>
    <col min="10" max="18" width="10.83203125" hidden="1" customWidth="1"/>
  </cols>
  <sheetData>
    <row r="1" spans="1:18">
      <c r="E1" t="s">
        <v>64</v>
      </c>
      <c r="G1" s="8" t="s">
        <v>89</v>
      </c>
      <c r="I1" s="21" t="s">
        <v>63</v>
      </c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t="s">
        <v>3</v>
      </c>
      <c r="B2" s="1" t="s">
        <v>23</v>
      </c>
      <c r="C2" s="1" t="s">
        <v>24</v>
      </c>
      <c r="G2" s="14" t="s">
        <v>51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</row>
    <row r="3" spans="1:18">
      <c r="A3">
        <v>2026</v>
      </c>
      <c r="B3" s="1">
        <f>Subtracting_Biochar_Removals!F11</f>
        <v>700399.51158073905</v>
      </c>
      <c r="C3" s="1">
        <f>Summary_Reductions!H8</f>
        <v>483.48297300000007</v>
      </c>
      <c r="E3" s="5">
        <f>SUM(B3:C3)</f>
        <v>700882.99455373909</v>
      </c>
      <c r="F3" s="5"/>
      <c r="G3" s="15">
        <f>SUM(I3:R3)</f>
        <v>70088.299455373912</v>
      </c>
      <c r="I3" s="5">
        <f t="shared" ref="I3:I42" si="0">0.1*E3</f>
        <v>70088.299455373912</v>
      </c>
    </row>
    <row r="4" spans="1:18">
      <c r="A4">
        <v>2027</v>
      </c>
      <c r="B4" s="1">
        <f>Subtracting_Biochar_Removals!F12</f>
        <v>374141.82765704329</v>
      </c>
      <c r="C4" s="1">
        <f>Summary_Reductions!H9</f>
        <v>483.48297300000007</v>
      </c>
      <c r="E4" s="5">
        <f t="shared" ref="E4:E42" si="1">SUM(B4:C4)</f>
        <v>374625.31063004327</v>
      </c>
      <c r="F4" s="5"/>
      <c r="G4" s="15">
        <f>SUM(I4:R4)</f>
        <v>107550.83051837824</v>
      </c>
      <c r="I4" s="5">
        <f t="shared" si="0"/>
        <v>37462.531063004331</v>
      </c>
      <c r="J4" s="5">
        <f t="shared" ref="J4:J42" si="2">0.1*E3</f>
        <v>70088.299455373912</v>
      </c>
    </row>
    <row r="5" spans="1:18">
      <c r="A5">
        <v>2028</v>
      </c>
      <c r="B5" s="1">
        <f>Subtracting_Biochar_Removals!F13</f>
        <v>239302.6780395596</v>
      </c>
      <c r="C5" s="1">
        <f>Summary_Reductions!H10</f>
        <v>483.48297300000007</v>
      </c>
      <c r="E5" s="5">
        <f t="shared" si="1"/>
        <v>239786.16101255961</v>
      </c>
      <c r="F5" s="5"/>
      <c r="G5" s="15">
        <f t="shared" ref="G5:G42" si="3">SUM(I5:R5)</f>
        <v>131529.4466196342</v>
      </c>
      <c r="I5" s="5">
        <f t="shared" si="0"/>
        <v>23978.616101255961</v>
      </c>
      <c r="J5" s="5">
        <f t="shared" si="2"/>
        <v>37462.531063004331</v>
      </c>
      <c r="K5" s="5">
        <f t="shared" ref="K5:K42" si="4">0.1*E3</f>
        <v>70088.299455373912</v>
      </c>
    </row>
    <row r="6" spans="1:18">
      <c r="A6">
        <v>2029</v>
      </c>
      <c r="B6" s="1">
        <f>Subtracting_Biochar_Removals!F14</f>
        <v>166855.89668228858</v>
      </c>
      <c r="C6" s="1">
        <f>Summary_Reductions!H11</f>
        <v>483.48297300000007</v>
      </c>
      <c r="E6" s="5">
        <f t="shared" si="1"/>
        <v>167339.37965528859</v>
      </c>
      <c r="F6" s="5"/>
      <c r="G6" s="15">
        <f t="shared" si="3"/>
        <v>148263.38458516309</v>
      </c>
      <c r="I6" s="5">
        <f t="shared" si="0"/>
        <v>16733.937965528861</v>
      </c>
      <c r="J6" s="5">
        <f t="shared" si="2"/>
        <v>23978.616101255961</v>
      </c>
      <c r="K6" s="5">
        <f t="shared" si="4"/>
        <v>37462.531063004331</v>
      </c>
      <c r="L6" s="5">
        <f t="shared" ref="L6:L42" si="5">0.1*E3</f>
        <v>70088.299455373912</v>
      </c>
    </row>
    <row r="7" spans="1:18">
      <c r="A7">
        <v>2030</v>
      </c>
      <c r="B7" s="1">
        <f>Subtracting_Biochar_Removals!F15</f>
        <v>126752.02142704456</v>
      </c>
      <c r="C7" s="1">
        <f>Summary_Reductions!H12</f>
        <v>483.48297300000007</v>
      </c>
      <c r="E7" s="5">
        <f t="shared" si="1"/>
        <v>127235.50440004456</v>
      </c>
      <c r="F7" s="5"/>
      <c r="G7" s="15">
        <f t="shared" si="3"/>
        <v>160986.93502516754</v>
      </c>
      <c r="I7" s="5">
        <f t="shared" si="0"/>
        <v>12723.550440004457</v>
      </c>
      <c r="J7" s="5">
        <f t="shared" si="2"/>
        <v>16733.937965528861</v>
      </c>
      <c r="K7" s="5">
        <f t="shared" si="4"/>
        <v>23978.616101255961</v>
      </c>
      <c r="L7" s="5">
        <f t="shared" si="5"/>
        <v>37462.531063004331</v>
      </c>
      <c r="M7" s="5">
        <f t="shared" ref="M7:M42" si="6">0.1*E3</f>
        <v>70088.299455373912</v>
      </c>
    </row>
    <row r="8" spans="1:18">
      <c r="A8">
        <v>2031</v>
      </c>
      <c r="B8" s="1">
        <f>Subtracting_Biochar_Removals!F16</f>
        <v>103627.8336069115</v>
      </c>
      <c r="C8" s="1">
        <f>Summary_Reductions!H13</f>
        <v>483.48297300000007</v>
      </c>
      <c r="E8" s="5">
        <f t="shared" si="1"/>
        <v>104111.31657991151</v>
      </c>
      <c r="F8" s="5"/>
      <c r="G8" s="15">
        <f t="shared" si="3"/>
        <v>171398.06668315869</v>
      </c>
      <c r="I8" s="5">
        <f t="shared" si="0"/>
        <v>10411.131657991151</v>
      </c>
      <c r="J8" s="5">
        <f t="shared" si="2"/>
        <v>12723.550440004457</v>
      </c>
      <c r="K8" s="5">
        <f t="shared" si="4"/>
        <v>16733.937965528861</v>
      </c>
      <c r="L8" s="5">
        <f t="shared" si="5"/>
        <v>23978.616101255961</v>
      </c>
      <c r="M8" s="5">
        <f t="shared" si="6"/>
        <v>37462.531063004331</v>
      </c>
      <c r="N8" s="5">
        <f t="shared" ref="N8:N42" si="7">0.1*E3</f>
        <v>70088.299455373912</v>
      </c>
    </row>
    <row r="9" spans="1:18">
      <c r="A9">
        <v>2032</v>
      </c>
      <c r="B9" s="1">
        <f>Subtracting_Biochar_Removals!F17</f>
        <v>89516.818732056825</v>
      </c>
      <c r="C9" s="1">
        <f>Summary_Reductions!H14</f>
        <v>483.48297300000007</v>
      </c>
      <c r="E9" s="5">
        <f t="shared" si="1"/>
        <v>90000.301705056831</v>
      </c>
      <c r="F9" s="5"/>
      <c r="G9" s="15">
        <f t="shared" si="3"/>
        <v>180398.09685366438</v>
      </c>
      <c r="I9" s="5">
        <f t="shared" si="0"/>
        <v>9000.0301705056827</v>
      </c>
      <c r="J9" s="5">
        <f t="shared" si="2"/>
        <v>10411.131657991151</v>
      </c>
      <c r="K9" s="5">
        <f t="shared" si="4"/>
        <v>12723.550440004457</v>
      </c>
      <c r="L9" s="5">
        <f t="shared" si="5"/>
        <v>16733.937965528861</v>
      </c>
      <c r="M9" s="5">
        <f t="shared" si="6"/>
        <v>23978.616101255961</v>
      </c>
      <c r="N9" s="5">
        <f t="shared" si="7"/>
        <v>37462.531063004331</v>
      </c>
      <c r="O9" s="5">
        <f t="shared" ref="O9:O42" si="8">0.1*E3</f>
        <v>70088.299455373912</v>
      </c>
    </row>
    <row r="10" spans="1:18">
      <c r="A10">
        <v>2033</v>
      </c>
      <c r="B10" s="1">
        <f>Subtracting_Biochar_Removals!F18</f>
        <v>80252.064029571586</v>
      </c>
      <c r="C10" s="1">
        <f>Summary_Reductions!H15</f>
        <v>483.48297300000007</v>
      </c>
      <c r="E10" s="5">
        <f t="shared" si="1"/>
        <v>80735.547002571591</v>
      </c>
      <c r="F10" s="5"/>
      <c r="G10" s="15">
        <f t="shared" si="3"/>
        <v>188471.65155392152</v>
      </c>
      <c r="I10" s="5">
        <f t="shared" si="0"/>
        <v>8073.5547002571593</v>
      </c>
      <c r="J10" s="5">
        <f t="shared" si="2"/>
        <v>9000.0301705056827</v>
      </c>
      <c r="K10" s="5">
        <f t="shared" si="4"/>
        <v>10411.131657991151</v>
      </c>
      <c r="L10" s="5">
        <f t="shared" si="5"/>
        <v>12723.550440004457</v>
      </c>
      <c r="M10" s="5">
        <f t="shared" si="6"/>
        <v>16733.937965528861</v>
      </c>
      <c r="N10" s="5">
        <f t="shared" si="7"/>
        <v>23978.616101255961</v>
      </c>
      <c r="O10" s="5">
        <f t="shared" si="8"/>
        <v>37462.531063004331</v>
      </c>
      <c r="P10" s="5">
        <f t="shared" ref="P10:P42" si="9">0.1*E3</f>
        <v>70088.299455373912</v>
      </c>
    </row>
    <row r="11" spans="1:18">
      <c r="A11">
        <v>2034</v>
      </c>
      <c r="B11" s="1">
        <f>Subtracting_Biochar_Removals!F19</f>
        <v>73641.311012701044</v>
      </c>
      <c r="C11" s="1">
        <f>Summary_Reductions!H16</f>
        <v>483.48297300000007</v>
      </c>
      <c r="E11" s="5">
        <f t="shared" si="1"/>
        <v>74124.79398570105</v>
      </c>
      <c r="F11" s="5"/>
      <c r="G11" s="15">
        <f t="shared" si="3"/>
        <v>195884.1309524916</v>
      </c>
      <c r="I11" s="5">
        <f t="shared" si="0"/>
        <v>7412.4793985701053</v>
      </c>
      <c r="J11" s="5">
        <f t="shared" si="2"/>
        <v>8073.5547002571593</v>
      </c>
      <c r="K11" s="5">
        <f t="shared" si="4"/>
        <v>9000.0301705056827</v>
      </c>
      <c r="L11" s="5">
        <f t="shared" si="5"/>
        <v>10411.131657991151</v>
      </c>
      <c r="M11" s="5">
        <f t="shared" si="6"/>
        <v>12723.550440004457</v>
      </c>
      <c r="N11" s="5">
        <f t="shared" si="7"/>
        <v>16733.937965528861</v>
      </c>
      <c r="O11" s="5">
        <f t="shared" si="8"/>
        <v>23978.616101255961</v>
      </c>
      <c r="P11" s="5">
        <f t="shared" si="9"/>
        <v>37462.531063004331</v>
      </c>
      <c r="Q11" s="5">
        <f t="shared" ref="Q11:Q42" si="10">0.1*E3</f>
        <v>70088.299455373912</v>
      </c>
    </row>
    <row r="12" spans="1:18">
      <c r="A12">
        <v>2035</v>
      </c>
      <c r="B12" s="1">
        <f>Subtracting_Biochar_Removals!F20</f>
        <v>68525.526364287172</v>
      </c>
      <c r="C12" s="1">
        <f>Summary_Reductions!H17</f>
        <v>483.48297300000007</v>
      </c>
      <c r="E12" s="5">
        <f t="shared" si="1"/>
        <v>69009.009337287178</v>
      </c>
      <c r="F12" s="5"/>
      <c r="G12" s="15">
        <f t="shared" si="3"/>
        <v>202785.03188622033</v>
      </c>
      <c r="I12" s="5">
        <f t="shared" si="0"/>
        <v>6900.900933728718</v>
      </c>
      <c r="J12" s="5">
        <f t="shared" si="2"/>
        <v>7412.4793985701053</v>
      </c>
      <c r="K12" s="5">
        <f t="shared" si="4"/>
        <v>8073.5547002571593</v>
      </c>
      <c r="L12" s="5">
        <f t="shared" si="5"/>
        <v>9000.0301705056827</v>
      </c>
      <c r="M12" s="5">
        <f t="shared" si="6"/>
        <v>10411.131657991151</v>
      </c>
      <c r="N12" s="5">
        <f t="shared" si="7"/>
        <v>12723.550440004457</v>
      </c>
      <c r="O12" s="5">
        <f t="shared" si="8"/>
        <v>16733.937965528861</v>
      </c>
      <c r="P12" s="5">
        <f t="shared" si="9"/>
        <v>23978.616101255961</v>
      </c>
      <c r="Q12" s="5">
        <f t="shared" si="10"/>
        <v>37462.531063004331</v>
      </c>
      <c r="R12" s="5">
        <f t="shared" ref="R12:R42" si="11">0.1*E3</f>
        <v>70088.299455373912</v>
      </c>
    </row>
    <row r="13" spans="1:18">
      <c r="A13">
        <v>2036</v>
      </c>
      <c r="B13" s="1">
        <f>Subtracting_Biochar_Removals!F21</f>
        <v>64288.519201254952</v>
      </c>
      <c r="C13" s="1">
        <f>Summary_Reductions!H18</f>
        <v>483.48297300000007</v>
      </c>
      <c r="E13" s="5">
        <f t="shared" si="1"/>
        <v>64772.002174254951</v>
      </c>
      <c r="F13" s="5"/>
      <c r="G13" s="15">
        <f t="shared" si="3"/>
        <v>139173.93264827193</v>
      </c>
      <c r="I13" s="5">
        <f t="shared" si="0"/>
        <v>6477.2002174254958</v>
      </c>
      <c r="J13" s="5">
        <f t="shared" si="2"/>
        <v>6900.900933728718</v>
      </c>
      <c r="K13" s="5">
        <f t="shared" si="4"/>
        <v>7412.4793985701053</v>
      </c>
      <c r="L13" s="5">
        <f t="shared" si="5"/>
        <v>8073.5547002571593</v>
      </c>
      <c r="M13" s="5">
        <f t="shared" si="6"/>
        <v>9000.0301705056827</v>
      </c>
      <c r="N13" s="5">
        <f t="shared" si="7"/>
        <v>10411.131657991151</v>
      </c>
      <c r="O13" s="5">
        <f t="shared" si="8"/>
        <v>12723.550440004457</v>
      </c>
      <c r="P13" s="5">
        <f t="shared" si="9"/>
        <v>16733.937965528861</v>
      </c>
      <c r="Q13" s="5">
        <f t="shared" si="10"/>
        <v>23978.616101255961</v>
      </c>
      <c r="R13" s="5">
        <f t="shared" si="11"/>
        <v>37462.531063004331</v>
      </c>
    </row>
    <row r="14" spans="1:18">
      <c r="A14">
        <v>2037</v>
      </c>
      <c r="B14" s="1">
        <f>Subtracting_Biochar_Removals!F22</f>
        <v>60600.078573607389</v>
      </c>
      <c r="C14" s="1">
        <f>Summary_Reductions!H19</f>
        <v>483.48297300000007</v>
      </c>
      <c r="E14" s="5">
        <f>SUM(B14:C14)</f>
        <v>61083.561546607387</v>
      </c>
      <c r="F14" s="5"/>
      <c r="G14" s="15">
        <f t="shared" si="3"/>
        <v>107819.75773992833</v>
      </c>
      <c r="I14" s="5">
        <f t="shared" si="0"/>
        <v>6108.3561546607389</v>
      </c>
      <c r="J14" s="5">
        <f t="shared" si="2"/>
        <v>6477.2002174254958</v>
      </c>
      <c r="K14" s="5">
        <f t="shared" si="4"/>
        <v>6900.900933728718</v>
      </c>
      <c r="L14" s="5">
        <f t="shared" si="5"/>
        <v>7412.4793985701053</v>
      </c>
      <c r="M14" s="5">
        <f t="shared" si="6"/>
        <v>8073.5547002571593</v>
      </c>
      <c r="N14" s="5">
        <f t="shared" si="7"/>
        <v>9000.0301705056827</v>
      </c>
      <c r="O14" s="5">
        <f t="shared" si="8"/>
        <v>10411.131657991151</v>
      </c>
      <c r="P14" s="5">
        <f t="shared" si="9"/>
        <v>12723.550440004457</v>
      </c>
      <c r="Q14" s="5">
        <f t="shared" si="10"/>
        <v>16733.937965528861</v>
      </c>
      <c r="R14" s="5">
        <f t="shared" si="11"/>
        <v>23978.616101255961</v>
      </c>
    </row>
    <row r="15" spans="1:18">
      <c r="A15">
        <v>2038</v>
      </c>
      <c r="B15" s="1">
        <f>Subtracting_Biochar_Removals!F23</f>
        <v>57280.994216835956</v>
      </c>
      <c r="C15" s="1">
        <f>Summary_Reductions!H20</f>
        <v>483.48297300000007</v>
      </c>
      <c r="E15" s="5">
        <f t="shared" si="1"/>
        <v>57764.477189835954</v>
      </c>
      <c r="F15" s="5"/>
      <c r="G15" s="15">
        <f t="shared" si="3"/>
        <v>89617.589357655976</v>
      </c>
      <c r="I15" s="5">
        <f t="shared" si="0"/>
        <v>5776.4477189835961</v>
      </c>
      <c r="J15" s="5">
        <f t="shared" si="2"/>
        <v>6108.3561546607389</v>
      </c>
      <c r="K15" s="5">
        <f t="shared" si="4"/>
        <v>6477.2002174254958</v>
      </c>
      <c r="L15" s="5">
        <f t="shared" si="5"/>
        <v>6900.900933728718</v>
      </c>
      <c r="M15" s="5">
        <f t="shared" si="6"/>
        <v>7412.4793985701053</v>
      </c>
      <c r="N15" s="5">
        <f t="shared" si="7"/>
        <v>8073.5547002571593</v>
      </c>
      <c r="O15" s="5">
        <f t="shared" si="8"/>
        <v>9000.0301705056827</v>
      </c>
      <c r="P15" s="5">
        <f t="shared" si="9"/>
        <v>10411.131657991151</v>
      </c>
      <c r="Q15" s="5">
        <f t="shared" si="10"/>
        <v>12723.550440004457</v>
      </c>
      <c r="R15" s="5">
        <f t="shared" si="11"/>
        <v>16733.937965528861</v>
      </c>
    </row>
    <row r="16" spans="1:18">
      <c r="A16">
        <v>2039</v>
      </c>
      <c r="B16" s="1">
        <f>Subtracting_Biochar_Removals!F24</f>
        <v>54231.987448887776</v>
      </c>
      <c r="C16" s="1">
        <f>Summary_Reductions!H21</f>
        <v>483.48297300000007</v>
      </c>
      <c r="E16" s="5">
        <f t="shared" si="1"/>
        <v>54715.470421887774</v>
      </c>
      <c r="F16" s="5"/>
      <c r="G16" s="15">
        <f t="shared" si="3"/>
        <v>78355.198434315884</v>
      </c>
      <c r="I16" s="5">
        <f t="shared" si="0"/>
        <v>5471.5470421887776</v>
      </c>
      <c r="J16" s="5">
        <f t="shared" si="2"/>
        <v>5776.4477189835961</v>
      </c>
      <c r="K16" s="5">
        <f t="shared" si="4"/>
        <v>6108.3561546607389</v>
      </c>
      <c r="L16" s="5">
        <f t="shared" si="5"/>
        <v>6477.2002174254958</v>
      </c>
      <c r="M16" s="5">
        <f t="shared" si="6"/>
        <v>6900.900933728718</v>
      </c>
      <c r="N16" s="5">
        <f t="shared" si="7"/>
        <v>7412.4793985701053</v>
      </c>
      <c r="O16" s="5">
        <f t="shared" si="8"/>
        <v>8073.5547002571593</v>
      </c>
      <c r="P16" s="5">
        <f t="shared" si="9"/>
        <v>9000.0301705056827</v>
      </c>
      <c r="Q16" s="5">
        <f t="shared" si="10"/>
        <v>10411.131657991151</v>
      </c>
      <c r="R16" s="5">
        <f t="shared" si="11"/>
        <v>12723.550440004457</v>
      </c>
    </row>
    <row r="17" spans="1:18">
      <c r="A17">
        <v>2040</v>
      </c>
      <c r="B17" s="1">
        <f>Subtracting_Biochar_Removals!F25</f>
        <v>51396.242508003408</v>
      </c>
      <c r="C17" s="1">
        <f>Summary_Reductions!H22</f>
        <v>483.48297300000007</v>
      </c>
      <c r="E17" s="5">
        <f t="shared" si="1"/>
        <v>51879.725481003406</v>
      </c>
      <c r="F17" s="5"/>
      <c r="G17" s="15">
        <f t="shared" si="3"/>
        <v>70819.620542411765</v>
      </c>
      <c r="I17" s="5">
        <f t="shared" si="0"/>
        <v>5187.9725481003406</v>
      </c>
      <c r="J17" s="5">
        <f t="shared" si="2"/>
        <v>5471.5470421887776</v>
      </c>
      <c r="K17" s="5">
        <f t="shared" si="4"/>
        <v>5776.4477189835961</v>
      </c>
      <c r="L17" s="5">
        <f t="shared" si="5"/>
        <v>6108.3561546607389</v>
      </c>
      <c r="M17" s="5">
        <f t="shared" si="6"/>
        <v>6477.2002174254958</v>
      </c>
      <c r="N17" s="5">
        <f t="shared" si="7"/>
        <v>6900.900933728718</v>
      </c>
      <c r="O17" s="5">
        <f t="shared" si="8"/>
        <v>7412.4793985701053</v>
      </c>
      <c r="P17" s="5">
        <f t="shared" si="9"/>
        <v>8073.5547002571593</v>
      </c>
      <c r="Q17" s="5">
        <f t="shared" si="10"/>
        <v>9000.0301705056827</v>
      </c>
      <c r="R17" s="5">
        <f t="shared" si="11"/>
        <v>10411.131657991151</v>
      </c>
    </row>
    <row r="18" spans="1:18">
      <c r="A18">
        <v>2041</v>
      </c>
      <c r="B18" s="1">
        <f>Subtracting_Biochar_Removals!F26</f>
        <v>48739.630604703161</v>
      </c>
      <c r="C18" s="1">
        <f>Summary_Reductions!H23</f>
        <v>483.48297300000007</v>
      </c>
      <c r="E18" s="5">
        <f t="shared" si="1"/>
        <v>49223.11357770316</v>
      </c>
      <c r="F18" s="5"/>
      <c r="G18" s="15">
        <f t="shared" si="3"/>
        <v>65330.800242190933</v>
      </c>
      <c r="I18" s="5">
        <f t="shared" si="0"/>
        <v>4922.3113577703161</v>
      </c>
      <c r="J18" s="5">
        <f t="shared" si="2"/>
        <v>5187.9725481003406</v>
      </c>
      <c r="K18" s="5">
        <f t="shared" si="4"/>
        <v>5471.5470421887776</v>
      </c>
      <c r="L18" s="5">
        <f t="shared" si="5"/>
        <v>5776.4477189835961</v>
      </c>
      <c r="M18" s="5">
        <f t="shared" si="6"/>
        <v>6108.3561546607389</v>
      </c>
      <c r="N18" s="5">
        <f t="shared" si="7"/>
        <v>6477.2002174254958</v>
      </c>
      <c r="O18" s="5">
        <f t="shared" si="8"/>
        <v>6900.900933728718</v>
      </c>
      <c r="P18" s="5">
        <f t="shared" si="9"/>
        <v>7412.4793985701053</v>
      </c>
      <c r="Q18" s="5">
        <f t="shared" si="10"/>
        <v>8073.5547002571593</v>
      </c>
      <c r="R18" s="5">
        <f t="shared" si="11"/>
        <v>9000.0301705056827</v>
      </c>
    </row>
    <row r="19" spans="1:18">
      <c r="A19">
        <v>2042</v>
      </c>
      <c r="B19" s="1">
        <f>Subtracting_Biochar_Removals!F27</f>
        <v>46240.259291808317</v>
      </c>
      <c r="C19" s="1">
        <f>Summary_Reductions!H24</f>
        <v>483.48297300000007</v>
      </c>
      <c r="E19" s="5">
        <f t="shared" si="1"/>
        <v>46723.742264808316</v>
      </c>
      <c r="F19" s="5"/>
      <c r="G19" s="15">
        <f t="shared" si="3"/>
        <v>61003.14429816608</v>
      </c>
      <c r="I19" s="5">
        <f t="shared" si="0"/>
        <v>4672.3742264808316</v>
      </c>
      <c r="J19" s="5">
        <f t="shared" si="2"/>
        <v>4922.3113577703161</v>
      </c>
      <c r="K19" s="5">
        <f t="shared" si="4"/>
        <v>5187.9725481003406</v>
      </c>
      <c r="L19" s="5">
        <f t="shared" si="5"/>
        <v>5471.5470421887776</v>
      </c>
      <c r="M19" s="5">
        <f t="shared" si="6"/>
        <v>5776.4477189835961</v>
      </c>
      <c r="N19" s="5">
        <f t="shared" si="7"/>
        <v>6108.3561546607389</v>
      </c>
      <c r="O19" s="5">
        <f t="shared" si="8"/>
        <v>6477.2002174254958</v>
      </c>
      <c r="P19" s="5">
        <f t="shared" si="9"/>
        <v>6900.900933728718</v>
      </c>
      <c r="Q19" s="5">
        <f t="shared" si="10"/>
        <v>7412.4793985701053</v>
      </c>
      <c r="R19" s="5">
        <f t="shared" si="11"/>
        <v>8073.5547002571593</v>
      </c>
    </row>
    <row r="20" spans="1:18">
      <c r="A20">
        <v>2043</v>
      </c>
      <c r="B20" s="1">
        <f>Subtracting_Biochar_Removals!F28</f>
        <v>43882.940288832186</v>
      </c>
      <c r="C20" s="1">
        <f>Summary_Reductions!H25</f>
        <v>483.48297300000007</v>
      </c>
      <c r="E20" s="5">
        <f t="shared" si="1"/>
        <v>44366.423261832184</v>
      </c>
      <c r="F20" s="5"/>
      <c r="G20" s="15">
        <f t="shared" si="3"/>
        <v>57366.231924092142</v>
      </c>
      <c r="I20" s="5">
        <f t="shared" si="0"/>
        <v>4436.6423261832188</v>
      </c>
      <c r="J20" s="5">
        <f t="shared" si="2"/>
        <v>4672.3742264808316</v>
      </c>
      <c r="K20" s="5">
        <f t="shared" si="4"/>
        <v>4922.3113577703161</v>
      </c>
      <c r="L20" s="5">
        <f t="shared" si="5"/>
        <v>5187.9725481003406</v>
      </c>
      <c r="M20" s="5">
        <f t="shared" si="6"/>
        <v>5471.5470421887776</v>
      </c>
      <c r="N20" s="5">
        <f t="shared" si="7"/>
        <v>5776.4477189835961</v>
      </c>
      <c r="O20" s="5">
        <f t="shared" si="8"/>
        <v>6108.3561546607389</v>
      </c>
      <c r="P20" s="5">
        <f t="shared" si="9"/>
        <v>6477.2002174254958</v>
      </c>
      <c r="Q20" s="5">
        <f t="shared" si="10"/>
        <v>6900.900933728718</v>
      </c>
      <c r="R20" s="5">
        <f t="shared" si="11"/>
        <v>7412.4793985701053</v>
      </c>
    </row>
    <row r="21" spans="1:18">
      <c r="A21">
        <v>2044</v>
      </c>
      <c r="B21" s="1">
        <f>Subtracting_Biochar_Removals!F29</f>
        <v>41656.252985550942</v>
      </c>
      <c r="C21" s="1">
        <f>Summary_Reductions!H26</f>
        <v>483.48297300000007</v>
      </c>
      <c r="E21" s="5">
        <f t="shared" si="1"/>
        <v>42139.73595855094</v>
      </c>
      <c r="F21" s="5"/>
      <c r="G21" s="15">
        <f t="shared" si="3"/>
        <v>54167.726121377127</v>
      </c>
      <c r="I21" s="5">
        <f t="shared" si="0"/>
        <v>4213.9735958550946</v>
      </c>
      <c r="J21" s="5">
        <f t="shared" si="2"/>
        <v>4436.6423261832188</v>
      </c>
      <c r="K21" s="5">
        <f t="shared" si="4"/>
        <v>4672.3742264808316</v>
      </c>
      <c r="L21" s="5">
        <f t="shared" si="5"/>
        <v>4922.3113577703161</v>
      </c>
      <c r="M21" s="5">
        <f t="shared" si="6"/>
        <v>5187.9725481003406</v>
      </c>
      <c r="N21" s="5">
        <f t="shared" si="7"/>
        <v>5471.5470421887776</v>
      </c>
      <c r="O21" s="5">
        <f t="shared" si="8"/>
        <v>5776.4477189835961</v>
      </c>
      <c r="P21" s="5">
        <f t="shared" si="9"/>
        <v>6108.3561546607389</v>
      </c>
      <c r="Q21" s="5">
        <f t="shared" si="10"/>
        <v>6477.2002174254958</v>
      </c>
      <c r="R21" s="5">
        <f t="shared" si="11"/>
        <v>6900.900933728718</v>
      </c>
    </row>
    <row r="22" spans="1:18">
      <c r="A22">
        <v>2045</v>
      </c>
      <c r="B22" s="1">
        <f>Subtracting_Biochar_Removals!F30</f>
        <v>39550.978707116083</v>
      </c>
      <c r="C22" s="1">
        <f>Summary_Reductions!H27</f>
        <v>483.48297300000007</v>
      </c>
      <c r="E22" s="5">
        <f t="shared" si="1"/>
        <v>40034.461680116081</v>
      </c>
      <c r="F22" s="5"/>
      <c r="G22" s="15">
        <f t="shared" si="3"/>
        <v>51270.271355660014</v>
      </c>
      <c r="I22" s="5">
        <f t="shared" si="0"/>
        <v>4003.4461680116083</v>
      </c>
      <c r="J22" s="5">
        <f t="shared" si="2"/>
        <v>4213.9735958550946</v>
      </c>
      <c r="K22" s="5">
        <f t="shared" si="4"/>
        <v>4436.6423261832188</v>
      </c>
      <c r="L22" s="5">
        <f t="shared" si="5"/>
        <v>4672.3742264808316</v>
      </c>
      <c r="M22" s="5">
        <f t="shared" si="6"/>
        <v>4922.3113577703161</v>
      </c>
      <c r="N22" s="5">
        <f t="shared" si="7"/>
        <v>5187.9725481003406</v>
      </c>
      <c r="O22" s="5">
        <f t="shared" si="8"/>
        <v>5471.5470421887776</v>
      </c>
      <c r="P22" s="5">
        <f t="shared" si="9"/>
        <v>5776.4477189835961</v>
      </c>
      <c r="Q22" s="5">
        <f t="shared" si="10"/>
        <v>6108.3561546607389</v>
      </c>
      <c r="R22" s="5">
        <f t="shared" si="11"/>
        <v>6477.2002174254958</v>
      </c>
    </row>
    <row r="23" spans="1:18">
      <c r="A23">
        <v>2046</v>
      </c>
      <c r="B23" s="1">
        <f>Subtracting_Biochar_Removals!F31</f>
        <v>37559.259530672411</v>
      </c>
      <c r="C23" s="1">
        <f>Summary_Reductions!H28</f>
        <v>483.48297300000007</v>
      </c>
      <c r="E23" s="5">
        <f t="shared" si="1"/>
        <v>38042.742503672409</v>
      </c>
      <c r="F23" s="5"/>
      <c r="G23" s="15">
        <f t="shared" si="3"/>
        <v>48597.34538860176</v>
      </c>
      <c r="I23" s="5">
        <f t="shared" si="0"/>
        <v>3804.2742503672412</v>
      </c>
      <c r="J23" s="5">
        <f t="shared" si="2"/>
        <v>4003.4461680116083</v>
      </c>
      <c r="K23" s="5">
        <f t="shared" si="4"/>
        <v>4213.9735958550946</v>
      </c>
      <c r="L23" s="5">
        <f t="shared" si="5"/>
        <v>4436.6423261832188</v>
      </c>
      <c r="M23" s="5">
        <f t="shared" si="6"/>
        <v>4672.3742264808316</v>
      </c>
      <c r="N23" s="5">
        <f t="shared" si="7"/>
        <v>4922.3113577703161</v>
      </c>
      <c r="O23" s="5">
        <f t="shared" si="8"/>
        <v>5187.9725481003406</v>
      </c>
      <c r="P23" s="5">
        <f t="shared" si="9"/>
        <v>5471.5470421887776</v>
      </c>
      <c r="Q23" s="5">
        <f t="shared" si="10"/>
        <v>5776.4477189835961</v>
      </c>
      <c r="R23" s="5">
        <f t="shared" si="11"/>
        <v>6108.3561546607389</v>
      </c>
    </row>
    <row r="24" spans="1:18">
      <c r="A24">
        <v>2047</v>
      </c>
      <c r="B24" s="1">
        <f>Subtracting_Biochar_Removals!F32</f>
        <v>35674.140622929001</v>
      </c>
      <c r="C24" s="1">
        <f>Summary_Reductions!H29</f>
        <v>483.48297300000007</v>
      </c>
      <c r="E24" s="5">
        <f t="shared" si="1"/>
        <v>36157.623595928999</v>
      </c>
      <c r="F24" s="5"/>
      <c r="G24" s="15">
        <f t="shared" si="3"/>
        <v>46104.751593533932</v>
      </c>
      <c r="I24" s="5">
        <f t="shared" si="0"/>
        <v>3615.7623595928999</v>
      </c>
      <c r="J24" s="5">
        <f t="shared" si="2"/>
        <v>3804.2742503672412</v>
      </c>
      <c r="K24" s="5">
        <f t="shared" si="4"/>
        <v>4003.4461680116083</v>
      </c>
      <c r="L24" s="5">
        <f t="shared" si="5"/>
        <v>4213.9735958550946</v>
      </c>
      <c r="M24" s="5">
        <f t="shared" si="6"/>
        <v>4436.6423261832188</v>
      </c>
      <c r="N24" s="5">
        <f t="shared" si="7"/>
        <v>4672.3742264808316</v>
      </c>
      <c r="O24" s="5">
        <f t="shared" si="8"/>
        <v>4922.3113577703161</v>
      </c>
      <c r="P24" s="5">
        <f t="shared" si="9"/>
        <v>5187.9725481003406</v>
      </c>
      <c r="Q24" s="5">
        <f t="shared" si="10"/>
        <v>5471.5470421887776</v>
      </c>
      <c r="R24" s="5">
        <f t="shared" si="11"/>
        <v>5776.4477189835961</v>
      </c>
    </row>
    <row r="25" spans="1:18">
      <c r="A25">
        <v>2048</v>
      </c>
      <c r="B25" s="1">
        <f>Subtracting_Biochar_Removals!F33</f>
        <v>33889.316051580361</v>
      </c>
      <c r="C25" s="1">
        <f>Summary_Reductions!H30</f>
        <v>483.48297300000007</v>
      </c>
      <c r="E25" s="5">
        <f t="shared" si="1"/>
        <v>34372.799024580359</v>
      </c>
      <c r="F25" s="5"/>
      <c r="G25" s="15">
        <f t="shared" si="3"/>
        <v>43765.583777008374</v>
      </c>
      <c r="I25" s="5">
        <f t="shared" si="0"/>
        <v>3437.2799024580363</v>
      </c>
      <c r="J25" s="5">
        <f t="shared" si="2"/>
        <v>3615.7623595928999</v>
      </c>
      <c r="K25" s="5">
        <f t="shared" si="4"/>
        <v>3804.2742503672412</v>
      </c>
      <c r="L25" s="5">
        <f t="shared" si="5"/>
        <v>4003.4461680116083</v>
      </c>
      <c r="M25" s="5">
        <f t="shared" si="6"/>
        <v>4213.9735958550946</v>
      </c>
      <c r="N25" s="5">
        <f t="shared" si="7"/>
        <v>4436.6423261832188</v>
      </c>
      <c r="O25" s="5">
        <f t="shared" si="8"/>
        <v>4672.3742264808316</v>
      </c>
      <c r="P25" s="5">
        <f t="shared" si="9"/>
        <v>4922.3113577703161</v>
      </c>
      <c r="Q25" s="5">
        <f t="shared" si="10"/>
        <v>5187.9725481003406</v>
      </c>
      <c r="R25" s="5">
        <f t="shared" si="11"/>
        <v>5471.5470421887776</v>
      </c>
    </row>
    <row r="26" spans="1:18">
      <c r="A26">
        <v>2049</v>
      </c>
      <c r="B26" s="1">
        <f>Subtracting_Biochar_Removals!F34</f>
        <v>32198.982963701594</v>
      </c>
      <c r="C26" s="1">
        <f>Summary_Reductions!H31</f>
        <v>483.48297300000007</v>
      </c>
      <c r="E26" s="5">
        <f t="shared" si="1"/>
        <v>32682.465936701592</v>
      </c>
      <c r="F26" s="5"/>
      <c r="G26" s="15">
        <f t="shared" si="3"/>
        <v>41562.28332848975</v>
      </c>
      <c r="I26" s="5">
        <f t="shared" si="0"/>
        <v>3268.2465936701592</v>
      </c>
      <c r="J26" s="5">
        <f t="shared" si="2"/>
        <v>3437.2799024580363</v>
      </c>
      <c r="K26" s="5">
        <f t="shared" si="4"/>
        <v>3615.7623595928999</v>
      </c>
      <c r="L26" s="5">
        <f t="shared" si="5"/>
        <v>3804.2742503672412</v>
      </c>
      <c r="M26" s="5">
        <f t="shared" si="6"/>
        <v>4003.4461680116083</v>
      </c>
      <c r="N26" s="5">
        <f t="shared" si="7"/>
        <v>4213.9735958550946</v>
      </c>
      <c r="O26" s="5">
        <f t="shared" si="8"/>
        <v>4436.6423261832188</v>
      </c>
      <c r="P26" s="5">
        <f t="shared" si="9"/>
        <v>4672.3742264808316</v>
      </c>
      <c r="Q26" s="5">
        <f t="shared" si="10"/>
        <v>4922.3113577703161</v>
      </c>
      <c r="R26" s="5">
        <f t="shared" si="11"/>
        <v>5187.9725481003406</v>
      </c>
    </row>
    <row r="27" spans="1:18">
      <c r="A27">
        <v>2050</v>
      </c>
      <c r="B27" s="1">
        <f>Subtracting_Biochar_Removals!F35</f>
        <v>30597.753851869482</v>
      </c>
      <c r="C27" s="1">
        <f>Summary_Reductions!H32</f>
        <v>483.48297300000007</v>
      </c>
      <c r="E27" s="5">
        <f t="shared" si="1"/>
        <v>31081.23682486948</v>
      </c>
      <c r="F27" s="5"/>
      <c r="G27" s="15">
        <f t="shared" si="3"/>
        <v>39482.434462876357</v>
      </c>
      <c r="I27" s="5">
        <f t="shared" si="0"/>
        <v>3108.1236824869484</v>
      </c>
      <c r="J27" s="5">
        <f t="shared" si="2"/>
        <v>3268.2465936701592</v>
      </c>
      <c r="K27" s="5">
        <f t="shared" si="4"/>
        <v>3437.2799024580363</v>
      </c>
      <c r="L27" s="5">
        <f t="shared" si="5"/>
        <v>3615.7623595928999</v>
      </c>
      <c r="M27" s="5">
        <f t="shared" si="6"/>
        <v>3804.2742503672412</v>
      </c>
      <c r="N27" s="5">
        <f t="shared" si="7"/>
        <v>4003.4461680116083</v>
      </c>
      <c r="O27" s="5">
        <f t="shared" si="8"/>
        <v>4213.9735958550946</v>
      </c>
      <c r="P27" s="5">
        <f t="shared" si="9"/>
        <v>4436.6423261832188</v>
      </c>
      <c r="Q27" s="5">
        <f t="shared" si="10"/>
        <v>4672.3742264808316</v>
      </c>
      <c r="R27" s="5">
        <f t="shared" si="11"/>
        <v>4922.3113577703161</v>
      </c>
    </row>
    <row r="28" spans="1:18">
      <c r="A28">
        <v>2051</v>
      </c>
      <c r="B28" s="1">
        <f>Subtracting_Biochar_Removals!F36</f>
        <v>29080.600293224023</v>
      </c>
      <c r="C28" s="1">
        <f>Summary_Reductions!H33</f>
        <v>483.48297300000007</v>
      </c>
      <c r="E28" s="5">
        <f t="shared" si="1"/>
        <v>29564.083266224021</v>
      </c>
      <c r="F28" s="5"/>
      <c r="G28" s="15">
        <f t="shared" si="3"/>
        <v>37516.531431728443</v>
      </c>
      <c r="I28" s="5">
        <f t="shared" si="0"/>
        <v>2956.4083266224025</v>
      </c>
      <c r="J28" s="5">
        <f t="shared" si="2"/>
        <v>3108.1236824869484</v>
      </c>
      <c r="K28" s="5">
        <f t="shared" si="4"/>
        <v>3268.2465936701592</v>
      </c>
      <c r="L28" s="5">
        <f t="shared" si="5"/>
        <v>3437.2799024580363</v>
      </c>
      <c r="M28" s="5">
        <f t="shared" si="6"/>
        <v>3615.7623595928999</v>
      </c>
      <c r="N28" s="5">
        <f t="shared" si="7"/>
        <v>3804.2742503672412</v>
      </c>
      <c r="O28" s="5">
        <f t="shared" si="8"/>
        <v>4003.4461680116083</v>
      </c>
      <c r="P28" s="5">
        <f t="shared" si="9"/>
        <v>4213.9735958550946</v>
      </c>
      <c r="Q28" s="5">
        <f t="shared" si="10"/>
        <v>4436.6423261832188</v>
      </c>
      <c r="R28" s="5">
        <f t="shared" si="11"/>
        <v>4672.3742264808316</v>
      </c>
    </row>
    <row r="29" spans="1:18">
      <c r="A29">
        <v>2052</v>
      </c>
      <c r="B29" s="1">
        <f>Subtracting_Biochar_Removals!F37</f>
        <v>27642.814043443701</v>
      </c>
      <c r="C29" s="1">
        <f>Summary_Reductions!H34</f>
        <v>483.48297300000007</v>
      </c>
      <c r="E29" s="5">
        <f t="shared" si="1"/>
        <v>28126.297016443699</v>
      </c>
      <c r="F29" s="5"/>
      <c r="G29" s="15">
        <f t="shared" si="3"/>
        <v>35656.786906891975</v>
      </c>
      <c r="I29" s="5">
        <f t="shared" si="0"/>
        <v>2812.62970164437</v>
      </c>
      <c r="J29" s="5">
        <f t="shared" si="2"/>
        <v>2956.4083266224025</v>
      </c>
      <c r="K29" s="5">
        <f t="shared" si="4"/>
        <v>3108.1236824869484</v>
      </c>
      <c r="L29" s="5">
        <f t="shared" si="5"/>
        <v>3268.2465936701592</v>
      </c>
      <c r="M29" s="5">
        <f t="shared" si="6"/>
        <v>3437.2799024580363</v>
      </c>
      <c r="N29" s="5">
        <f t="shared" si="7"/>
        <v>3615.7623595928999</v>
      </c>
      <c r="O29" s="5">
        <f t="shared" si="8"/>
        <v>3804.2742503672412</v>
      </c>
      <c r="P29" s="5">
        <f t="shared" si="9"/>
        <v>4003.4461680116083</v>
      </c>
      <c r="Q29" s="5">
        <f t="shared" si="10"/>
        <v>4213.9735958550946</v>
      </c>
      <c r="R29" s="5">
        <f t="shared" si="11"/>
        <v>4436.6423261832188</v>
      </c>
    </row>
    <row r="30" spans="1:18">
      <c r="A30">
        <v>2053</v>
      </c>
      <c r="B30" s="1">
        <f>Subtracting_Biochar_Removals!F38</f>
        <v>26279.977970235748</v>
      </c>
      <c r="C30" s="1">
        <f>Summary_Reductions!H35</f>
        <v>483.48297300000007</v>
      </c>
      <c r="E30" s="5">
        <f t="shared" si="1"/>
        <v>26763.460943235747</v>
      </c>
      <c r="F30" s="5"/>
      <c r="G30" s="15">
        <f t="shared" si="3"/>
        <v>33896.490675032335</v>
      </c>
      <c r="I30" s="5">
        <f t="shared" si="0"/>
        <v>2676.346094323575</v>
      </c>
      <c r="J30" s="5">
        <f t="shared" si="2"/>
        <v>2812.62970164437</v>
      </c>
      <c r="K30" s="5">
        <f t="shared" si="4"/>
        <v>2956.4083266224025</v>
      </c>
      <c r="L30" s="5">
        <f t="shared" si="5"/>
        <v>3108.1236824869484</v>
      </c>
      <c r="M30" s="5">
        <f t="shared" si="6"/>
        <v>3268.2465936701592</v>
      </c>
      <c r="N30" s="5">
        <f t="shared" si="7"/>
        <v>3437.2799024580363</v>
      </c>
      <c r="O30" s="5">
        <f t="shared" si="8"/>
        <v>3615.7623595928999</v>
      </c>
      <c r="P30" s="5">
        <f t="shared" si="9"/>
        <v>3804.2742503672412</v>
      </c>
      <c r="Q30" s="5">
        <f t="shared" si="10"/>
        <v>4003.4461680116083</v>
      </c>
      <c r="R30" s="5">
        <f t="shared" si="11"/>
        <v>4213.9735958550946</v>
      </c>
    </row>
    <row r="31" spans="1:18">
      <c r="A31">
        <v>2054</v>
      </c>
      <c r="B31" s="1">
        <f>Subtracting_Biochar_Removals!F39</f>
        <v>24987.942802213533</v>
      </c>
      <c r="C31" s="1">
        <f>Summary_Reductions!H36</f>
        <v>483.48297300000007</v>
      </c>
      <c r="E31" s="5">
        <f t="shared" si="1"/>
        <v>25471.425775213531</v>
      </c>
      <c r="F31" s="5"/>
      <c r="G31" s="15">
        <f t="shared" si="3"/>
        <v>32229.659656698594</v>
      </c>
      <c r="I31" s="5">
        <f t="shared" si="0"/>
        <v>2547.1425775213534</v>
      </c>
      <c r="J31" s="5">
        <f t="shared" si="2"/>
        <v>2676.346094323575</v>
      </c>
      <c r="K31" s="5">
        <f t="shared" si="4"/>
        <v>2812.62970164437</v>
      </c>
      <c r="L31" s="5">
        <f t="shared" si="5"/>
        <v>2956.4083266224025</v>
      </c>
      <c r="M31" s="5">
        <f t="shared" si="6"/>
        <v>3108.1236824869484</v>
      </c>
      <c r="N31" s="5">
        <f t="shared" si="7"/>
        <v>3268.2465936701592</v>
      </c>
      <c r="O31" s="5">
        <f t="shared" si="8"/>
        <v>3437.2799024580363</v>
      </c>
      <c r="P31" s="5">
        <f t="shared" si="9"/>
        <v>3615.7623595928999</v>
      </c>
      <c r="Q31" s="5">
        <f t="shared" si="10"/>
        <v>3804.2742503672412</v>
      </c>
      <c r="R31" s="5">
        <f t="shared" si="11"/>
        <v>4003.4461680116083</v>
      </c>
    </row>
    <row r="32" spans="1:18">
      <c r="A32">
        <v>2055</v>
      </c>
      <c r="B32" s="1">
        <f>Subtracting_Biochar_Removals!F40</f>
        <v>23762.807517381774</v>
      </c>
      <c r="C32" s="1">
        <f>Summary_Reductions!H37</f>
        <v>483.48297300000007</v>
      </c>
      <c r="E32" s="5">
        <f t="shared" si="1"/>
        <v>24246.290490381773</v>
      </c>
      <c r="F32" s="5"/>
      <c r="G32" s="15">
        <f t="shared" si="3"/>
        <v>30650.842537725166</v>
      </c>
      <c r="I32" s="5">
        <f t="shared" si="0"/>
        <v>2424.6290490381775</v>
      </c>
      <c r="J32" s="5">
        <f t="shared" si="2"/>
        <v>2547.1425775213534</v>
      </c>
      <c r="K32" s="5">
        <f t="shared" si="4"/>
        <v>2676.346094323575</v>
      </c>
      <c r="L32" s="5">
        <f t="shared" si="5"/>
        <v>2812.62970164437</v>
      </c>
      <c r="M32" s="5">
        <f t="shared" si="6"/>
        <v>2956.4083266224025</v>
      </c>
      <c r="N32" s="5">
        <f t="shared" si="7"/>
        <v>3108.1236824869484</v>
      </c>
      <c r="O32" s="5">
        <f t="shared" si="8"/>
        <v>3268.2465936701592</v>
      </c>
      <c r="P32" s="5">
        <f t="shared" si="9"/>
        <v>3437.2799024580363</v>
      </c>
      <c r="Q32" s="5">
        <f t="shared" si="10"/>
        <v>3615.7623595928999</v>
      </c>
      <c r="R32" s="5">
        <f t="shared" si="11"/>
        <v>3804.2742503672412</v>
      </c>
    </row>
    <row r="33" spans="1:18">
      <c r="A33">
        <v>2056</v>
      </c>
      <c r="B33" s="1">
        <f>Subtracting_Biochar_Removals!F41</f>
        <v>22600.902176128773</v>
      </c>
      <c r="C33" s="1">
        <f>Summary_Reductions!H38</f>
        <v>483.48297300000007</v>
      </c>
      <c r="E33" s="5">
        <f t="shared" si="1"/>
        <v>23084.385149128771</v>
      </c>
      <c r="F33" s="5"/>
      <c r="G33" s="15">
        <f t="shared" si="3"/>
        <v>29155.006802270796</v>
      </c>
      <c r="I33" s="5">
        <f t="shared" si="0"/>
        <v>2308.4385149128771</v>
      </c>
      <c r="J33" s="5">
        <f t="shared" si="2"/>
        <v>2424.6290490381775</v>
      </c>
      <c r="K33" s="5">
        <f t="shared" si="4"/>
        <v>2547.1425775213534</v>
      </c>
      <c r="L33" s="5">
        <f t="shared" si="5"/>
        <v>2676.346094323575</v>
      </c>
      <c r="M33" s="5">
        <f t="shared" si="6"/>
        <v>2812.62970164437</v>
      </c>
      <c r="N33" s="5">
        <f t="shared" si="7"/>
        <v>2956.4083266224025</v>
      </c>
      <c r="O33" s="5">
        <f t="shared" si="8"/>
        <v>3108.1236824869484</v>
      </c>
      <c r="P33" s="5">
        <f t="shared" si="9"/>
        <v>3268.2465936701592</v>
      </c>
      <c r="Q33" s="5">
        <f t="shared" si="10"/>
        <v>3437.2799024580363</v>
      </c>
      <c r="R33" s="5">
        <f t="shared" si="11"/>
        <v>3615.7623595928999</v>
      </c>
    </row>
    <row r="34" spans="1:18">
      <c r="A34">
        <v>2057</v>
      </c>
      <c r="B34" s="1">
        <f>Subtracting_Biochar_Removals!F42</f>
        <v>21498.772525574477</v>
      </c>
      <c r="C34" s="1">
        <f>Summary_Reductions!H39</f>
        <v>483.48297300000007</v>
      </c>
      <c r="E34" s="5">
        <f t="shared" si="1"/>
        <v>21982.255498574475</v>
      </c>
      <c r="F34" s="5"/>
      <c r="G34" s="15">
        <f t="shared" si="3"/>
        <v>27737.469992535349</v>
      </c>
      <c r="I34" s="5">
        <f t="shared" si="0"/>
        <v>2198.2255498574477</v>
      </c>
      <c r="J34" s="5">
        <f t="shared" si="2"/>
        <v>2308.4385149128771</v>
      </c>
      <c r="K34" s="5">
        <f t="shared" si="4"/>
        <v>2424.6290490381775</v>
      </c>
      <c r="L34" s="5">
        <f t="shared" si="5"/>
        <v>2547.1425775213534</v>
      </c>
      <c r="M34" s="5">
        <f t="shared" si="6"/>
        <v>2676.346094323575</v>
      </c>
      <c r="N34" s="5">
        <f t="shared" si="7"/>
        <v>2812.62970164437</v>
      </c>
      <c r="O34" s="5">
        <f t="shared" si="8"/>
        <v>2956.4083266224025</v>
      </c>
      <c r="P34" s="5">
        <f t="shared" si="9"/>
        <v>3108.1236824869484</v>
      </c>
      <c r="Q34" s="5">
        <f t="shared" si="10"/>
        <v>3268.2465936701592</v>
      </c>
      <c r="R34" s="5">
        <f t="shared" si="11"/>
        <v>3437.2799024580363</v>
      </c>
    </row>
    <row r="35" spans="1:18">
      <c r="A35">
        <v>2058</v>
      </c>
      <c r="B35" s="1">
        <f>Subtracting_Biochar_Removals!F43</f>
        <v>20453.165981610051</v>
      </c>
      <c r="C35" s="1">
        <f>Summary_Reductions!H40</f>
        <v>483.48297300000007</v>
      </c>
      <c r="E35" s="5">
        <f t="shared" si="1"/>
        <v>20936.648954610049</v>
      </c>
      <c r="F35" s="5"/>
      <c r="G35" s="15">
        <f t="shared" si="3"/>
        <v>26393.854985538321</v>
      </c>
      <c r="I35" s="5">
        <f t="shared" si="0"/>
        <v>2093.664895461005</v>
      </c>
      <c r="J35" s="5">
        <f t="shared" si="2"/>
        <v>2198.2255498574477</v>
      </c>
      <c r="K35" s="5">
        <f t="shared" si="4"/>
        <v>2308.4385149128771</v>
      </c>
      <c r="L35" s="5">
        <f t="shared" si="5"/>
        <v>2424.6290490381775</v>
      </c>
      <c r="M35" s="5">
        <f t="shared" si="6"/>
        <v>2547.1425775213534</v>
      </c>
      <c r="N35" s="5">
        <f t="shared" si="7"/>
        <v>2676.346094323575</v>
      </c>
      <c r="O35" s="5">
        <f t="shared" si="8"/>
        <v>2812.62970164437</v>
      </c>
      <c r="P35" s="5">
        <f t="shared" si="9"/>
        <v>2956.4083266224025</v>
      </c>
      <c r="Q35" s="5">
        <f t="shared" si="10"/>
        <v>3108.1236824869484</v>
      </c>
      <c r="R35" s="5">
        <f t="shared" si="11"/>
        <v>3268.2465936701592</v>
      </c>
    </row>
    <row r="36" spans="1:18">
      <c r="A36">
        <v>2059</v>
      </c>
      <c r="B36" s="1">
        <f>Subtracting_Biochar_Removals!F44</f>
        <v>19461.018746063135</v>
      </c>
      <c r="C36" s="1">
        <f>Summary_Reductions!H41</f>
        <v>483.48297300000007</v>
      </c>
      <c r="E36" s="5">
        <f t="shared" si="1"/>
        <v>19944.501719063133</v>
      </c>
      <c r="F36" s="5"/>
      <c r="G36" s="15">
        <f t="shared" si="3"/>
        <v>25120.058563774473</v>
      </c>
      <c r="I36" s="5">
        <f t="shared" si="0"/>
        <v>1994.4501719063135</v>
      </c>
      <c r="J36" s="5">
        <f t="shared" si="2"/>
        <v>2093.664895461005</v>
      </c>
      <c r="K36" s="5">
        <f t="shared" si="4"/>
        <v>2198.2255498574477</v>
      </c>
      <c r="L36" s="5">
        <f t="shared" si="5"/>
        <v>2308.4385149128771</v>
      </c>
      <c r="M36" s="5">
        <f t="shared" si="6"/>
        <v>2424.6290490381775</v>
      </c>
      <c r="N36" s="5">
        <f t="shared" si="7"/>
        <v>2547.1425775213534</v>
      </c>
      <c r="O36" s="5">
        <f t="shared" si="8"/>
        <v>2676.346094323575</v>
      </c>
      <c r="P36" s="5">
        <f t="shared" si="9"/>
        <v>2812.62970164437</v>
      </c>
      <c r="Q36" s="5">
        <f t="shared" si="10"/>
        <v>2956.4083266224025</v>
      </c>
      <c r="R36" s="5">
        <f t="shared" si="11"/>
        <v>3108.1236824869484</v>
      </c>
    </row>
    <row r="37" spans="1:18">
      <c r="A37">
        <v>2060</v>
      </c>
      <c r="B37" s="1">
        <f>Subtracting_Biochar_Removals!F45</f>
        <v>18519.443899112575</v>
      </c>
      <c r="C37" s="1">
        <f>Summary_Reductions!H42</f>
        <v>483.48297300000007</v>
      </c>
      <c r="E37" s="5">
        <f t="shared" si="1"/>
        <v>19002.926872112574</v>
      </c>
      <c r="F37" s="5"/>
      <c r="G37" s="15">
        <f t="shared" si="3"/>
        <v>23912.227568498784</v>
      </c>
      <c r="I37" s="5">
        <f t="shared" si="0"/>
        <v>1900.2926872112575</v>
      </c>
      <c r="J37" s="5">
        <f t="shared" si="2"/>
        <v>1994.4501719063135</v>
      </c>
      <c r="K37" s="5">
        <f t="shared" si="4"/>
        <v>2093.664895461005</v>
      </c>
      <c r="L37" s="5">
        <f t="shared" si="5"/>
        <v>2198.2255498574477</v>
      </c>
      <c r="M37" s="5">
        <f t="shared" si="6"/>
        <v>2308.4385149128771</v>
      </c>
      <c r="N37" s="5">
        <f t="shared" si="7"/>
        <v>2424.6290490381775</v>
      </c>
      <c r="O37" s="5">
        <f t="shared" si="8"/>
        <v>2547.1425775213534</v>
      </c>
      <c r="P37" s="5">
        <f t="shared" si="9"/>
        <v>2676.346094323575</v>
      </c>
      <c r="Q37" s="5">
        <f t="shared" si="10"/>
        <v>2812.62970164437</v>
      </c>
      <c r="R37" s="5">
        <f t="shared" si="11"/>
        <v>2956.4083266224025</v>
      </c>
    </row>
    <row r="38" spans="1:18">
      <c r="A38">
        <v>2061</v>
      </c>
      <c r="B38" s="1">
        <f>Subtracting_Biochar_Removals!F46</f>
        <v>17625.720353769448</v>
      </c>
      <c r="C38" s="1">
        <f>Summary_Reductions!H43</f>
        <v>483.48297300000007</v>
      </c>
      <c r="E38" s="5">
        <f t="shared" si="1"/>
        <v>18109.203326769446</v>
      </c>
      <c r="F38" s="5"/>
      <c r="G38" s="15">
        <f t="shared" si="3"/>
        <v>22766.739574553321</v>
      </c>
      <c r="I38" s="5">
        <f t="shared" si="0"/>
        <v>1810.9203326769448</v>
      </c>
      <c r="J38" s="5">
        <f t="shared" si="2"/>
        <v>1900.2926872112575</v>
      </c>
      <c r="K38" s="5">
        <f t="shared" si="4"/>
        <v>1994.4501719063135</v>
      </c>
      <c r="L38" s="5">
        <f t="shared" si="5"/>
        <v>2093.664895461005</v>
      </c>
      <c r="M38" s="5">
        <f t="shared" si="6"/>
        <v>2198.2255498574477</v>
      </c>
      <c r="N38" s="5">
        <f t="shared" si="7"/>
        <v>2308.4385149128771</v>
      </c>
      <c r="O38" s="5">
        <f t="shared" si="8"/>
        <v>2424.6290490381775</v>
      </c>
      <c r="P38" s="5">
        <f t="shared" si="9"/>
        <v>2547.1425775213534</v>
      </c>
      <c r="Q38" s="5">
        <f t="shared" si="10"/>
        <v>2676.346094323575</v>
      </c>
      <c r="R38" s="5">
        <f t="shared" si="11"/>
        <v>2812.62970164437</v>
      </c>
    </row>
    <row r="39" spans="1:18">
      <c r="A39">
        <v>2062</v>
      </c>
      <c r="B39" s="1">
        <f>Subtracting_Biochar_Removals!F47</f>
        <v>16777.282586215937</v>
      </c>
      <c r="C39" s="1">
        <f>Summary_Reductions!H44</f>
        <v>483.48297300000007</v>
      </c>
      <c r="E39" s="5">
        <f t="shared" si="1"/>
        <v>17260.765559215935</v>
      </c>
      <c r="F39" s="5"/>
      <c r="G39" s="15">
        <f t="shared" si="3"/>
        <v>21680.186428830544</v>
      </c>
      <c r="I39" s="5">
        <f t="shared" si="0"/>
        <v>1726.0765559215936</v>
      </c>
      <c r="J39" s="5">
        <f t="shared" si="2"/>
        <v>1810.9203326769448</v>
      </c>
      <c r="K39" s="5">
        <f t="shared" si="4"/>
        <v>1900.2926872112575</v>
      </c>
      <c r="L39" s="5">
        <f t="shared" si="5"/>
        <v>1994.4501719063135</v>
      </c>
      <c r="M39" s="5">
        <f t="shared" si="6"/>
        <v>2093.664895461005</v>
      </c>
      <c r="N39" s="5">
        <f t="shared" si="7"/>
        <v>2198.2255498574477</v>
      </c>
      <c r="O39" s="5">
        <f t="shared" si="8"/>
        <v>2308.4385149128771</v>
      </c>
      <c r="P39" s="5">
        <f t="shared" si="9"/>
        <v>2424.6290490381775</v>
      </c>
      <c r="Q39" s="5">
        <f t="shared" si="10"/>
        <v>2547.1425775213534</v>
      </c>
      <c r="R39" s="5">
        <f t="shared" si="11"/>
        <v>2676.346094323575</v>
      </c>
    </row>
    <row r="40" spans="1:18">
      <c r="A40">
        <v>2063</v>
      </c>
      <c r="B40" s="1">
        <f>Subtracting_Biochar_Removals!F48</f>
        <v>15971.71107240655</v>
      </c>
      <c r="C40" s="1">
        <f>Summary_Reductions!H45</f>
        <v>483.48297300000007</v>
      </c>
      <c r="E40" s="5">
        <f t="shared" si="1"/>
        <v>16455.194045406548</v>
      </c>
      <c r="F40" s="5"/>
      <c r="G40" s="15">
        <f t="shared" si="3"/>
        <v>20649.359739047624</v>
      </c>
      <c r="I40" s="5">
        <f t="shared" si="0"/>
        <v>1645.5194045406549</v>
      </c>
      <c r="J40" s="5">
        <f t="shared" si="2"/>
        <v>1726.0765559215936</v>
      </c>
      <c r="K40" s="5">
        <f t="shared" si="4"/>
        <v>1810.9203326769448</v>
      </c>
      <c r="L40" s="5">
        <f t="shared" si="5"/>
        <v>1900.2926872112575</v>
      </c>
      <c r="M40" s="5">
        <f t="shared" si="6"/>
        <v>1994.4501719063135</v>
      </c>
      <c r="N40" s="5">
        <f t="shared" si="7"/>
        <v>2093.664895461005</v>
      </c>
      <c r="O40" s="5">
        <f t="shared" si="8"/>
        <v>2198.2255498574477</v>
      </c>
      <c r="P40" s="5">
        <f t="shared" si="9"/>
        <v>2308.4385149128771</v>
      </c>
      <c r="Q40" s="5">
        <f t="shared" si="10"/>
        <v>2424.6290490381775</v>
      </c>
      <c r="R40" s="5">
        <f t="shared" si="11"/>
        <v>2547.1425775213534</v>
      </c>
    </row>
    <row r="41" spans="1:18">
      <c r="A41">
        <v>2064</v>
      </c>
      <c r="B41" s="1">
        <f>Subtracting_Biochar_Removals!F49</f>
        <v>15206.723372171065</v>
      </c>
      <c r="C41" s="1">
        <f>Summary_Reductions!H46</f>
        <v>483.48297300000007</v>
      </c>
      <c r="E41" s="5">
        <f t="shared" si="1"/>
        <v>15690.206345171066</v>
      </c>
      <c r="F41" s="5"/>
      <c r="G41" s="15">
        <f t="shared" si="3"/>
        <v>19671.237796043377</v>
      </c>
      <c r="I41" s="5">
        <f t="shared" si="0"/>
        <v>1569.0206345171066</v>
      </c>
      <c r="J41" s="5">
        <f t="shared" si="2"/>
        <v>1645.5194045406549</v>
      </c>
      <c r="K41" s="5">
        <f t="shared" si="4"/>
        <v>1726.0765559215936</v>
      </c>
      <c r="L41" s="5">
        <f t="shared" si="5"/>
        <v>1810.9203326769448</v>
      </c>
      <c r="M41" s="5">
        <f t="shared" si="6"/>
        <v>1900.2926872112575</v>
      </c>
      <c r="N41" s="5">
        <f t="shared" si="7"/>
        <v>1994.4501719063135</v>
      </c>
      <c r="O41" s="5">
        <f t="shared" si="8"/>
        <v>2093.664895461005</v>
      </c>
      <c r="P41" s="5">
        <f t="shared" si="9"/>
        <v>2198.2255498574477</v>
      </c>
      <c r="Q41" s="5">
        <f t="shared" si="10"/>
        <v>2308.4385149128771</v>
      </c>
      <c r="R41" s="5">
        <f t="shared" si="11"/>
        <v>2424.6290490381775</v>
      </c>
    </row>
    <row r="42" spans="1:18">
      <c r="A42">
        <v>2065</v>
      </c>
      <c r="B42" s="1">
        <f>Subtracting_Biochar_Removals!F50</f>
        <v>14480.165809479673</v>
      </c>
      <c r="C42" s="1">
        <f>Summary_Reductions!H47</f>
        <v>483.48297300000007</v>
      </c>
      <c r="E42" s="5">
        <f t="shared" si="1"/>
        <v>14963.648782479673</v>
      </c>
      <c r="F42" s="5"/>
      <c r="G42" s="15">
        <f t="shared" si="3"/>
        <v>18742.973625253169</v>
      </c>
      <c r="I42" s="5">
        <f t="shared" si="0"/>
        <v>1496.3648782479675</v>
      </c>
      <c r="J42" s="5">
        <f t="shared" si="2"/>
        <v>1569.0206345171066</v>
      </c>
      <c r="K42" s="5">
        <f t="shared" si="4"/>
        <v>1645.5194045406549</v>
      </c>
      <c r="L42" s="5">
        <f t="shared" si="5"/>
        <v>1726.0765559215936</v>
      </c>
      <c r="M42" s="5">
        <f t="shared" si="6"/>
        <v>1810.9203326769448</v>
      </c>
      <c r="N42" s="5">
        <f t="shared" si="7"/>
        <v>1900.2926872112575</v>
      </c>
      <c r="O42" s="5">
        <f t="shared" si="8"/>
        <v>1994.4501719063135</v>
      </c>
      <c r="P42" s="5">
        <f t="shared" si="9"/>
        <v>2093.664895461005</v>
      </c>
      <c r="Q42" s="5">
        <f t="shared" si="10"/>
        <v>2198.2255498574477</v>
      </c>
      <c r="R42" s="5">
        <f t="shared" si="11"/>
        <v>2308.4385149128771</v>
      </c>
    </row>
    <row r="43" spans="1:18">
      <c r="G43" s="8"/>
    </row>
    <row r="44" spans="1:18">
      <c r="D44" t="s">
        <v>52</v>
      </c>
      <c r="E44" s="5">
        <f>SUM(E3:E42)</f>
        <v>3034491.1940485877</v>
      </c>
      <c r="F44" s="5"/>
      <c r="G44" s="15">
        <f>SUM(G3:G42)</f>
        <v>2957571.9716321761</v>
      </c>
      <c r="I44" s="5"/>
    </row>
  </sheetData>
  <mergeCells count="1">
    <mergeCell ref="I1:R1"/>
  </mergeCells>
  <phoneticPr fontId="4" type="noConversion"/>
  <hyperlinks>
    <hyperlink ref="G2" r:id="rId1" xr:uid="{611845FF-8744-854D-B8AD-D4609FE516B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4888-FB14-564C-901E-F49C230665D8}">
  <dimension ref="A1:J52"/>
  <sheetViews>
    <sheetView topLeftCell="A26" zoomScale="150" workbookViewId="0">
      <selection activeCell="F10" sqref="F10"/>
    </sheetView>
  </sheetViews>
  <sheetFormatPr baseColWidth="10" defaultRowHeight="17" customHeight="1"/>
  <cols>
    <col min="3" max="3" width="24.1640625" customWidth="1"/>
    <col min="4" max="4" width="22.83203125" customWidth="1"/>
    <col min="5" max="5" width="27.1640625" customWidth="1"/>
    <col min="6" max="6" width="39.33203125" customWidth="1"/>
    <col min="7" max="7" width="43.6640625" customWidth="1"/>
  </cols>
  <sheetData>
    <row r="1" spans="1:10" ht="17" customHeight="1">
      <c r="C1" s="8" t="s">
        <v>78</v>
      </c>
      <c r="D1" s="8" t="s">
        <v>67</v>
      </c>
      <c r="E1" s="8" t="s">
        <v>70</v>
      </c>
      <c r="F1" s="8" t="s">
        <v>68</v>
      </c>
      <c r="G1" s="8" t="s">
        <v>79</v>
      </c>
    </row>
    <row r="2" spans="1:10" ht="17" customHeight="1">
      <c r="C2" s="16" t="s">
        <v>65</v>
      </c>
      <c r="D2" s="17">
        <v>0.5</v>
      </c>
      <c r="E2" s="16" t="s">
        <v>71</v>
      </c>
      <c r="F2" t="s">
        <v>81</v>
      </c>
      <c r="G2" s="18" t="s">
        <v>77</v>
      </c>
    </row>
    <row r="3" spans="1:10" ht="33" customHeight="1">
      <c r="C3" s="16" t="s">
        <v>66</v>
      </c>
      <c r="D3" s="17">
        <v>0.7</v>
      </c>
      <c r="E3" s="16" t="s">
        <v>72</v>
      </c>
      <c r="F3" s="16" t="s">
        <v>69</v>
      </c>
      <c r="G3" t="s">
        <v>90</v>
      </c>
    </row>
    <row r="4" spans="1:10" ht="20" customHeight="1">
      <c r="C4" s="16" t="s">
        <v>73</v>
      </c>
      <c r="D4" s="17">
        <f>30%*D3</f>
        <v>0.21</v>
      </c>
      <c r="E4" s="16" t="s">
        <v>75</v>
      </c>
      <c r="F4" s="16" t="s">
        <v>69</v>
      </c>
      <c r="G4" t="s">
        <v>90</v>
      </c>
    </row>
    <row r="5" spans="1:10" ht="35" customHeight="1">
      <c r="C5" s="16" t="s">
        <v>74</v>
      </c>
      <c r="D5" s="17">
        <f>70%*D3</f>
        <v>0.48999999999999994</v>
      </c>
      <c r="E5" s="16" t="s">
        <v>76</v>
      </c>
      <c r="F5" s="16" t="s">
        <v>69</v>
      </c>
      <c r="G5" t="s">
        <v>90</v>
      </c>
    </row>
    <row r="6" spans="1:10" ht="80" customHeight="1">
      <c r="C6" s="16" t="s">
        <v>83</v>
      </c>
      <c r="D6" s="16" t="s">
        <v>84</v>
      </c>
      <c r="E6" s="16" t="s">
        <v>80</v>
      </c>
      <c r="F6" s="16" t="s">
        <v>82</v>
      </c>
      <c r="G6" s="18" t="s">
        <v>85</v>
      </c>
    </row>
    <row r="7" spans="1:10" ht="48" customHeight="1" thickBot="1">
      <c r="A7" s="23"/>
      <c r="B7" s="23"/>
      <c r="C7" s="24"/>
      <c r="D7" s="24"/>
      <c r="E7" s="24"/>
      <c r="F7" s="24"/>
      <c r="G7" s="23"/>
      <c r="H7" s="23"/>
      <c r="I7" s="23"/>
      <c r="J7" s="23"/>
    </row>
    <row r="8" spans="1:10" ht="17" customHeight="1">
      <c r="C8" s="16"/>
      <c r="D8" s="16"/>
      <c r="E8" s="16"/>
      <c r="F8" s="16"/>
    </row>
    <row r="9" spans="1:10" s="16" customFormat="1" ht="36" customHeight="1">
      <c r="A9"/>
      <c r="B9"/>
      <c r="C9" s="19" t="s">
        <v>87</v>
      </c>
      <c r="E9" s="19" t="s">
        <v>86</v>
      </c>
      <c r="F9" s="19" t="s">
        <v>91</v>
      </c>
    </row>
    <row r="10" spans="1:10" ht="17" customHeight="1">
      <c r="E10" s="20"/>
      <c r="F10" s="8" t="s">
        <v>88</v>
      </c>
    </row>
    <row r="11" spans="1:10" ht="17" customHeight="1">
      <c r="C11" s="1">
        <f>Summary_Removals!H6</f>
        <v>821101.42037601292</v>
      </c>
      <c r="E11" s="5">
        <f>$D$4*$D$3 * C11</f>
        <v>120701.90879527389</v>
      </c>
      <c r="F11" s="15">
        <f>C11-E11</f>
        <v>700399.51158073905</v>
      </c>
    </row>
    <row r="12" spans="1:10" ht="17" customHeight="1">
      <c r="C12" s="1">
        <f>Summary_Removals!H7</f>
        <v>438618.78975034383</v>
      </c>
      <c r="E12" s="5">
        <f t="shared" ref="E12:E50" si="0">$D$4*$D$3 * C12</f>
        <v>64476.962093300543</v>
      </c>
      <c r="F12" s="15">
        <f t="shared" ref="F12:F50" si="1">C12-E12</f>
        <v>374141.82765704329</v>
      </c>
    </row>
    <row r="13" spans="1:10" ht="17" customHeight="1">
      <c r="C13" s="1">
        <f>Summary_Removals!H8</f>
        <v>280542.4127075728</v>
      </c>
      <c r="E13" s="5">
        <f t="shared" si="0"/>
        <v>41239.734668013203</v>
      </c>
      <c r="F13" s="15">
        <f t="shared" si="1"/>
        <v>239302.6780395596</v>
      </c>
    </row>
    <row r="14" spans="1:10" ht="17" customHeight="1">
      <c r="C14" s="1">
        <f>Summary_Removals!H9</f>
        <v>195610.66434031486</v>
      </c>
      <c r="E14" s="5">
        <f t="shared" si="0"/>
        <v>28754.767658026281</v>
      </c>
      <c r="F14" s="15">
        <f t="shared" si="1"/>
        <v>166855.89668228858</v>
      </c>
    </row>
    <row r="15" spans="1:10" ht="17" customHeight="1">
      <c r="C15" s="1">
        <f>Summary_Removals!H10</f>
        <v>148595.57025444848</v>
      </c>
      <c r="E15" s="5">
        <f t="shared" si="0"/>
        <v>21843.548827403927</v>
      </c>
      <c r="F15" s="15">
        <f t="shared" si="1"/>
        <v>126752.02142704456</v>
      </c>
    </row>
    <row r="16" spans="1:10" ht="17" customHeight="1">
      <c r="C16" s="1">
        <f>Summary_Removals!H11</f>
        <v>121486.32310306156</v>
      </c>
      <c r="E16" s="5">
        <f t="shared" si="0"/>
        <v>17858.489496150047</v>
      </c>
      <c r="F16" s="15">
        <f t="shared" si="1"/>
        <v>103627.8336069115</v>
      </c>
    </row>
    <row r="17" spans="3:6" ht="17" customHeight="1">
      <c r="C17" s="1">
        <f>Summary_Removals!H12</f>
        <v>104943.51551237612</v>
      </c>
      <c r="E17" s="5">
        <f t="shared" si="0"/>
        <v>15426.696780319289</v>
      </c>
      <c r="F17" s="15">
        <f t="shared" si="1"/>
        <v>89516.818732056825</v>
      </c>
    </row>
    <row r="18" spans="3:6" ht="17" customHeight="1">
      <c r="C18" s="1">
        <f>Summary_Removals!H13</f>
        <v>94082.138369954962</v>
      </c>
      <c r="E18" s="5">
        <f t="shared" si="0"/>
        <v>13830.074340383379</v>
      </c>
      <c r="F18" s="15">
        <f t="shared" si="1"/>
        <v>80252.064029571586</v>
      </c>
    </row>
    <row r="19" spans="3:6" ht="17" customHeight="1">
      <c r="C19" s="1">
        <f>Summary_Removals!H14</f>
        <v>86332.13483317825</v>
      </c>
      <c r="E19" s="5">
        <f t="shared" si="0"/>
        <v>12690.823820477202</v>
      </c>
      <c r="F19" s="15">
        <f t="shared" si="1"/>
        <v>73641.311012701044</v>
      </c>
    </row>
    <row r="20" spans="3:6" ht="17" customHeight="1">
      <c r="C20" s="1">
        <f>Summary_Removals!H15</f>
        <v>80334.731962822014</v>
      </c>
      <c r="E20" s="5">
        <f t="shared" si="0"/>
        <v>11809.205598534836</v>
      </c>
      <c r="F20" s="15">
        <f t="shared" si="1"/>
        <v>68525.526364287172</v>
      </c>
    </row>
    <row r="21" spans="3:6" ht="17" customHeight="1">
      <c r="C21" s="1">
        <f>Summary_Removals!H16</f>
        <v>75367.548887754921</v>
      </c>
      <c r="E21" s="5">
        <f t="shared" si="0"/>
        <v>11079.029686499973</v>
      </c>
      <c r="F21" s="15">
        <f t="shared" si="1"/>
        <v>64288.519201254952</v>
      </c>
    </row>
    <row r="22" spans="3:6" ht="17" customHeight="1">
      <c r="C22" s="1">
        <f>Summary_Removals!H17</f>
        <v>71043.468433302914</v>
      </c>
      <c r="E22" s="5">
        <f t="shared" si="0"/>
        <v>10443.389859695528</v>
      </c>
      <c r="F22" s="15">
        <f t="shared" si="1"/>
        <v>60600.078573607389</v>
      </c>
    </row>
    <row r="23" spans="3:6" ht="17" customHeight="1">
      <c r="C23" s="1">
        <f>Summary_Removals!H18</f>
        <v>67152.396502738513</v>
      </c>
      <c r="E23" s="5">
        <f t="shared" si="0"/>
        <v>9871.4022859025608</v>
      </c>
      <c r="F23" s="15">
        <f t="shared" si="1"/>
        <v>57280.994216835956</v>
      </c>
    </row>
    <row r="24" spans="3:6" ht="17" customHeight="1">
      <c r="C24" s="1">
        <f>Summary_Removals!H19</f>
        <v>63577.945426597624</v>
      </c>
      <c r="E24" s="5">
        <f t="shared" si="0"/>
        <v>9345.9579777098497</v>
      </c>
      <c r="F24" s="15">
        <f t="shared" si="1"/>
        <v>54231.987448887776</v>
      </c>
    </row>
    <row r="25" spans="3:6" ht="17" customHeight="1">
      <c r="C25" s="1">
        <f>Summary_Removals!H20</f>
        <v>60253.508215713257</v>
      </c>
      <c r="E25" s="5">
        <f t="shared" si="0"/>
        <v>8857.2657077098484</v>
      </c>
      <c r="F25" s="15">
        <f t="shared" si="1"/>
        <v>51396.242508003408</v>
      </c>
    </row>
    <row r="26" spans="3:6" ht="17" customHeight="1">
      <c r="C26" s="1">
        <f>Summary_Removals!H21</f>
        <v>57139.074565888819</v>
      </c>
      <c r="E26" s="5">
        <f t="shared" si="0"/>
        <v>8399.443961185656</v>
      </c>
      <c r="F26" s="15">
        <f t="shared" si="1"/>
        <v>48739.630604703161</v>
      </c>
    </row>
    <row r="27" spans="3:6" ht="17" customHeight="1">
      <c r="C27" s="1">
        <f>Summary_Removals!H22</f>
        <v>54208.979240103537</v>
      </c>
      <c r="E27" s="5">
        <f t="shared" si="0"/>
        <v>7968.7199482952192</v>
      </c>
      <c r="F27" s="15">
        <f t="shared" si="1"/>
        <v>46240.259291808317</v>
      </c>
    </row>
    <row r="28" spans="3:6" ht="17" customHeight="1">
      <c r="C28" s="1">
        <f>Summary_Removals!H23</f>
        <v>51445.416516802092</v>
      </c>
      <c r="E28" s="5">
        <f t="shared" si="0"/>
        <v>7562.4762279699071</v>
      </c>
      <c r="F28" s="15">
        <f t="shared" si="1"/>
        <v>43882.940288832186</v>
      </c>
    </row>
    <row r="29" spans="3:6" ht="17" customHeight="1">
      <c r="C29" s="1">
        <f>Summary_Removals!H24</f>
        <v>48834.997638395005</v>
      </c>
      <c r="E29" s="5">
        <f t="shared" si="0"/>
        <v>7178.7446528440651</v>
      </c>
      <c r="F29" s="15">
        <f t="shared" si="1"/>
        <v>41656.252985550942</v>
      </c>
    </row>
    <row r="30" spans="3:6" ht="17" customHeight="1">
      <c r="C30" s="1">
        <f>Summary_Removals!H25</f>
        <v>46366.915248670673</v>
      </c>
      <c r="E30" s="5">
        <f t="shared" si="0"/>
        <v>6815.936541554589</v>
      </c>
      <c r="F30" s="15">
        <f t="shared" si="1"/>
        <v>39550.978707116083</v>
      </c>
    </row>
    <row r="31" spans="3:6" ht="17" customHeight="1">
      <c r="C31" s="1">
        <f>Summary_Removals!H26</f>
        <v>44031.957245805876</v>
      </c>
      <c r="E31" s="5">
        <f t="shared" si="0"/>
        <v>6472.6977151334631</v>
      </c>
      <c r="F31" s="15">
        <f t="shared" si="1"/>
        <v>37559.259530672411</v>
      </c>
    </row>
    <row r="32" spans="3:6" ht="17" customHeight="1">
      <c r="C32" s="1">
        <f>Summary_Removals!H27</f>
        <v>41821.970249623686</v>
      </c>
      <c r="E32" s="5">
        <f t="shared" si="0"/>
        <v>6147.8296266946818</v>
      </c>
      <c r="F32" s="15">
        <f t="shared" si="1"/>
        <v>35674.140622929001</v>
      </c>
    </row>
    <row r="33" spans="3:6" ht="17" customHeight="1">
      <c r="C33" s="1">
        <f>Summary_Removals!H28</f>
        <v>39729.561607948839</v>
      </c>
      <c r="E33" s="5">
        <f t="shared" si="0"/>
        <v>5840.2455563684789</v>
      </c>
      <c r="F33" s="15">
        <f t="shared" si="1"/>
        <v>33889.316051580361</v>
      </c>
    </row>
    <row r="34" spans="3:6" ht="17" customHeight="1">
      <c r="C34" s="1">
        <f>Summary_Removals!H29</f>
        <v>37747.928445136684</v>
      </c>
      <c r="E34" s="5">
        <f t="shared" si="0"/>
        <v>5548.945481435092</v>
      </c>
      <c r="F34" s="15">
        <f t="shared" si="1"/>
        <v>32198.982963701594</v>
      </c>
    </row>
    <row r="35" spans="3:6" ht="17" customHeight="1">
      <c r="C35" s="1">
        <f>Summary_Removals!H30</f>
        <v>35870.754808756719</v>
      </c>
      <c r="E35" s="5">
        <f t="shared" si="0"/>
        <v>5273.0009568872374</v>
      </c>
      <c r="F35" s="15">
        <f t="shared" si="1"/>
        <v>30597.753851869482</v>
      </c>
    </row>
    <row r="36" spans="3:6" ht="17" customHeight="1">
      <c r="C36" s="1">
        <f>Summary_Removals!H31</f>
        <v>34092.145713041056</v>
      </c>
      <c r="E36" s="5">
        <f t="shared" si="0"/>
        <v>5011.5454198170346</v>
      </c>
      <c r="F36" s="15">
        <f t="shared" si="1"/>
        <v>29080.600293224023</v>
      </c>
    </row>
    <row r="37" spans="3:6" ht="17" customHeight="1">
      <c r="C37" s="1">
        <f>Summary_Removals!H32</f>
        <v>32406.58152806999</v>
      </c>
      <c r="E37" s="5">
        <f t="shared" si="0"/>
        <v>4763.767484626288</v>
      </c>
      <c r="F37" s="15">
        <f t="shared" si="1"/>
        <v>27642.814043443701</v>
      </c>
    </row>
    <row r="38" spans="3:6" ht="17" customHeight="1">
      <c r="C38" s="1">
        <f>Summary_Removals!H33</f>
        <v>30808.883904145074</v>
      </c>
      <c r="E38" s="5">
        <f t="shared" si="0"/>
        <v>4528.9059339093255</v>
      </c>
      <c r="F38" s="15">
        <f t="shared" si="1"/>
        <v>26279.977970235748</v>
      </c>
    </row>
    <row r="39" spans="3:6" ht="17" customHeight="1">
      <c r="C39" s="1">
        <f>Summary_Removals!H34</f>
        <v>29294.188513732159</v>
      </c>
      <c r="E39" s="5">
        <f t="shared" si="0"/>
        <v>4306.2457115186271</v>
      </c>
      <c r="F39" s="15">
        <f t="shared" si="1"/>
        <v>24987.942802213533</v>
      </c>
    </row>
    <row r="40" spans="3:6" ht="17" customHeight="1">
      <c r="C40" s="1">
        <f>Summary_Removals!H35</f>
        <v>27857.922060236546</v>
      </c>
      <c r="E40" s="5">
        <f t="shared" si="0"/>
        <v>4095.114542854772</v>
      </c>
      <c r="F40" s="15">
        <f t="shared" si="1"/>
        <v>23762.807517381774</v>
      </c>
    </row>
    <row r="41" spans="3:6" ht="17" customHeight="1">
      <c r="C41" s="1">
        <f>Summary_Removals!H36</f>
        <v>26495.782152554246</v>
      </c>
      <c r="E41" s="5">
        <f t="shared" si="0"/>
        <v>3894.8799764254741</v>
      </c>
      <c r="F41" s="15">
        <f t="shared" si="1"/>
        <v>22600.902176128773</v>
      </c>
    </row>
    <row r="42" spans="3:6" ht="17" customHeight="1">
      <c r="C42" s="1">
        <f>Summary_Removals!H37</f>
        <v>25203.719256242061</v>
      </c>
      <c r="E42" s="5">
        <f t="shared" si="0"/>
        <v>3704.9467306675829</v>
      </c>
      <c r="F42" s="15">
        <f t="shared" si="1"/>
        <v>21498.772525574477</v>
      </c>
    </row>
    <row r="43" spans="3:6" ht="17" customHeight="1">
      <c r="C43" s="1">
        <f>Summary_Removals!H38</f>
        <v>23977.920259800765</v>
      </c>
      <c r="E43" s="5">
        <f t="shared" si="0"/>
        <v>3524.7542781907123</v>
      </c>
      <c r="F43" s="15">
        <f t="shared" si="1"/>
        <v>20453.165981610051</v>
      </c>
    </row>
    <row r="44" spans="3:6" ht="17" customHeight="1">
      <c r="C44" s="1">
        <f>Summary_Removals!H39</f>
        <v>22814.793371703556</v>
      </c>
      <c r="E44" s="5">
        <f t="shared" si="0"/>
        <v>3353.7746256404225</v>
      </c>
      <c r="F44" s="15">
        <f t="shared" si="1"/>
        <v>19461.018746063135</v>
      </c>
    </row>
    <row r="45" spans="3:6" ht="17" customHeight="1">
      <c r="C45" s="1">
        <f>Summary_Removals!H40</f>
        <v>21710.954160741589</v>
      </c>
      <c r="E45" s="5">
        <f t="shared" si="0"/>
        <v>3191.5102616290133</v>
      </c>
      <c r="F45" s="15">
        <f t="shared" si="1"/>
        <v>18519.443899112575</v>
      </c>
    </row>
    <row r="46" spans="3:6" ht="17" customHeight="1">
      <c r="C46" s="1">
        <f>Summary_Removals!H41</f>
        <v>20663.212606998179</v>
      </c>
      <c r="E46" s="5">
        <f t="shared" si="0"/>
        <v>3037.4922532287319</v>
      </c>
      <c r="F46" s="15">
        <f t="shared" si="1"/>
        <v>17625.720353769448</v>
      </c>
    </row>
    <row r="47" spans="3:6" ht="17" customHeight="1">
      <c r="C47" s="1">
        <f>Summary_Removals!H42</f>
        <v>19668.561062386794</v>
      </c>
      <c r="E47" s="5">
        <f t="shared" si="0"/>
        <v>2891.2784761708585</v>
      </c>
      <c r="F47" s="15">
        <f t="shared" si="1"/>
        <v>16777.282586215937</v>
      </c>
    </row>
    <row r="48" spans="3:6" ht="17" customHeight="1">
      <c r="C48" s="1">
        <f>Summary_Removals!H43</f>
        <v>18724.163039163599</v>
      </c>
      <c r="E48" s="5">
        <f t="shared" si="0"/>
        <v>2752.4519667570489</v>
      </c>
      <c r="F48" s="15">
        <f t="shared" si="1"/>
        <v>15971.71107240655</v>
      </c>
    </row>
    <row r="49" spans="2:6" ht="17" customHeight="1">
      <c r="C49" s="1">
        <f>Summary_Removals!H44</f>
        <v>17827.342757527626</v>
      </c>
      <c r="E49" s="5">
        <f t="shared" si="0"/>
        <v>2620.619385356561</v>
      </c>
      <c r="F49" s="15">
        <f t="shared" si="1"/>
        <v>15206.723372171065</v>
      </c>
    </row>
    <row r="50" spans="2:6" ht="17" customHeight="1">
      <c r="B50" t="s">
        <v>12</v>
      </c>
      <c r="C50" s="1">
        <f>Summary_Removals!H45</f>
        <v>16975.57539212154</v>
      </c>
      <c r="E50" s="5">
        <f t="shared" si="0"/>
        <v>2495.4095826418661</v>
      </c>
      <c r="F50" s="15">
        <f t="shared" si="1"/>
        <v>14480.165809479673</v>
      </c>
    </row>
    <row r="51" spans="2:6" ht="17" customHeight="1">
      <c r="C51" s="1"/>
      <c r="F51" s="8"/>
    </row>
    <row r="52" spans="2:6" ht="17" customHeight="1">
      <c r="C52" s="1">
        <f>Summary_Removals!H47</f>
        <v>3534761.8700217889</v>
      </c>
      <c r="F52" s="15">
        <f>SUM(F11:F50)</f>
        <v>3015151.8751285886</v>
      </c>
    </row>
  </sheetData>
  <hyperlinks>
    <hyperlink ref="G2" r:id="rId1" xr:uid="{258BD82D-8F9B-5F46-AD70-FA0AE846534B}"/>
    <hyperlink ref="G6" r:id="rId2" xr:uid="{0413F7C2-1ABA-4F46-A5A1-A00149A95BCA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50"/>
  <sheetViews>
    <sheetView workbookViewId="0">
      <selection activeCell="J42" sqref="J42"/>
    </sheetView>
  </sheetViews>
  <sheetFormatPr baseColWidth="10" defaultRowHeight="16"/>
  <cols>
    <col min="1" max="1" width="11.83203125" style="1" bestFit="1" customWidth="1"/>
    <col min="2" max="2" width="14" style="1" customWidth="1"/>
    <col min="3" max="3" width="12.83203125" style="1" customWidth="1"/>
    <col min="4" max="4" width="11.5" style="1" bestFit="1" customWidth="1"/>
    <col min="5" max="5" width="13.1640625" style="1" customWidth="1"/>
    <col min="6" max="6" width="12.5" style="1" customWidth="1"/>
    <col min="7" max="7" width="11.5" style="1" bestFit="1" customWidth="1"/>
    <col min="8" max="8" width="17.33203125" style="1" customWidth="1"/>
    <col min="9" max="16384" width="10.83203125" style="1"/>
  </cols>
  <sheetData>
    <row r="3" spans="1:8">
      <c r="A3" s="1" t="s">
        <v>50</v>
      </c>
      <c r="G3" s="11">
        <v>0.5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H5" s="1" t="s">
        <v>10</v>
      </c>
    </row>
    <row r="6" spans="1:8">
      <c r="A6" s="4">
        <v>2026</v>
      </c>
      <c r="B6" s="1">
        <f>Eor!H3</f>
        <v>182181.98348570865</v>
      </c>
      <c r="C6" s="1">
        <f>Lanyuak!N3</f>
        <v>182926.63684540731</v>
      </c>
      <c r="D6" s="1">
        <f>Mumberes!O4</f>
        <v>293852.47100765549</v>
      </c>
      <c r="E6" s="1">
        <f>Kabianga!H3</f>
        <v>597779.32853249332</v>
      </c>
      <c r="F6" s="1">
        <f>Kipsigis!E3</f>
        <v>385462.42088076117</v>
      </c>
      <c r="H6" s="1">
        <f>SUM(B6:F6)*$G$3</f>
        <v>821101.42037601292</v>
      </c>
    </row>
    <row r="7" spans="1:8">
      <c r="A7" s="4">
        <v>2027</v>
      </c>
      <c r="B7" s="1">
        <f>Eor!H4</f>
        <v>103237.57152406669</v>
      </c>
      <c r="C7" s="1">
        <f>Lanyuak!N4</f>
        <v>103660.46958255726</v>
      </c>
      <c r="D7" s="1">
        <f>Mumberes!O5</f>
        <v>154483.80788139781</v>
      </c>
      <c r="E7" s="1">
        <f>Kabianga!H4</f>
        <v>313610.94121317234</v>
      </c>
      <c r="F7" s="1">
        <f>Kipsigis!E4</f>
        <v>202244.78929949357</v>
      </c>
      <c r="H7" s="1">
        <f t="shared" ref="H7:H44" si="0">SUM(B7:F7)*$G$3</f>
        <v>438618.78975034383</v>
      </c>
    </row>
    <row r="8" spans="1:8">
      <c r="A8" s="4">
        <v>2028</v>
      </c>
      <c r="B8" s="1">
        <f>Eor!H5</f>
        <v>70500.281215553958</v>
      </c>
      <c r="C8" s="1">
        <f>Lanyuak!N5</f>
        <v>70790.49479387005</v>
      </c>
      <c r="D8" s="1">
        <f>Mumberes!O6</f>
        <v>97119.403974104367</v>
      </c>
      <c r="E8" s="1">
        <f>Kabianga!H5</f>
        <v>196147.62538190183</v>
      </c>
      <c r="F8" s="1">
        <f>Kipsigis!E5</f>
        <v>126527.02004971547</v>
      </c>
      <c r="H8" s="1">
        <f t="shared" si="0"/>
        <v>280542.4127075728</v>
      </c>
    </row>
    <row r="9" spans="1:8">
      <c r="A9" s="4">
        <v>2029</v>
      </c>
      <c r="B9" s="1">
        <f>Eor!H6</f>
        <v>52780.463343848314</v>
      </c>
      <c r="C9" s="1">
        <f>Lanyuak!N6</f>
        <v>52999.420088755607</v>
      </c>
      <c r="D9" s="1">
        <f>Mumberes!O7</f>
        <v>66493.779851270898</v>
      </c>
      <c r="E9" s="1">
        <f>Kabianga!H6</f>
        <v>133069.60136381543</v>
      </c>
      <c r="F9" s="1">
        <f>Kipsigis!E6</f>
        <v>85878.064032939481</v>
      </c>
      <c r="H9" s="1">
        <f t="shared" si="0"/>
        <v>195610.66434031486</v>
      </c>
    </row>
    <row r="10" spans="1:8">
      <c r="A10" s="4">
        <v>2030</v>
      </c>
      <c r="B10" s="1">
        <f>Eor!H7</f>
        <v>42850.266455065386</v>
      </c>
      <c r="C10" s="1">
        <f>Lanyuak!N7</f>
        <v>43029.764923574912</v>
      </c>
      <c r="D10" s="1">
        <f>Mumberes!O8</f>
        <v>49706.643740710497</v>
      </c>
      <c r="E10" s="1">
        <f>Kabianga!H7</f>
        <v>98192.793756630184</v>
      </c>
      <c r="F10" s="1">
        <f>Kipsigis!E7</f>
        <v>63411.671632915975</v>
      </c>
      <c r="H10" s="1">
        <f t="shared" si="0"/>
        <v>148595.57025444848</v>
      </c>
    </row>
    <row r="11" spans="1:8">
      <c r="A11" s="4">
        <v>2031</v>
      </c>
      <c r="B11" s="1">
        <f>Eor!H8</f>
        <v>37011.834326432792</v>
      </c>
      <c r="C11" s="1">
        <f>Lanyuak!N8</f>
        <v>37168.523961605424</v>
      </c>
      <c r="D11" s="1">
        <f>Mumberes!O9</f>
        <v>40166.661929896138</v>
      </c>
      <c r="E11" s="1">
        <f>Kabianga!H8</f>
        <v>78130.548728042835</v>
      </c>
      <c r="F11" s="1">
        <f>Kipsigis!E8</f>
        <v>50495.07726014591</v>
      </c>
      <c r="H11" s="1">
        <f t="shared" si="0"/>
        <v>121486.32310306156</v>
      </c>
    </row>
    <row r="12" spans="1:8">
      <c r="A12" s="4">
        <v>2032</v>
      </c>
      <c r="B12" s="1">
        <f>Eor!H9</f>
        <v>33346.181697903157</v>
      </c>
      <c r="C12" s="1">
        <f>Lanyuak!N9</f>
        <v>33488.858491134131</v>
      </c>
      <c r="D12" s="1">
        <f>Mumberes!O10</f>
        <v>34459.223887246808</v>
      </c>
      <c r="E12" s="1">
        <f>Kabianga!H9</f>
        <v>65940.904703421926</v>
      </c>
      <c r="F12" s="1">
        <f>Kipsigis!E9</f>
        <v>42651.862245046214</v>
      </c>
      <c r="H12" s="1">
        <f t="shared" si="0"/>
        <v>104943.51551237612</v>
      </c>
    </row>
    <row r="13" spans="1:8">
      <c r="A13" s="4">
        <v>2033</v>
      </c>
      <c r="B13" s="1">
        <f>Eor!H10</f>
        <v>30848.938282674262</v>
      </c>
      <c r="C13" s="1">
        <f>Lanyuak!N10</f>
        <v>30982.293630844706</v>
      </c>
      <c r="D13" s="1">
        <f>Mumberes!O11</f>
        <v>30800.578502703233</v>
      </c>
      <c r="E13" s="1">
        <f>Kabianga!H10</f>
        <v>57992.097235869296</v>
      </c>
      <c r="F13" s="1">
        <f>Kipsigis!E10</f>
        <v>37540.369087818421</v>
      </c>
      <c r="H13" s="1">
        <f t="shared" si="0"/>
        <v>94082.138369954962</v>
      </c>
    </row>
    <row r="14" spans="1:8">
      <c r="A14" s="4">
        <v>2034</v>
      </c>
      <c r="B14" s="1">
        <f>Eor!H11</f>
        <v>28991.54193059056</v>
      </c>
      <c r="C14" s="1">
        <f>Lanyuak!N11</f>
        <v>29118.111241642273</v>
      </c>
      <c r="D14" s="1">
        <f>Mumberes!O12</f>
        <v>28253.838852825902</v>
      </c>
      <c r="E14" s="1">
        <f>Kabianga!H11</f>
        <v>52372.539340622607</v>
      </c>
      <c r="F14" s="1">
        <f>Kipsigis!E11</f>
        <v>33928.238300675148</v>
      </c>
      <c r="H14" s="1">
        <f t="shared" si="0"/>
        <v>86332.13483317825</v>
      </c>
    </row>
    <row r="15" spans="1:8">
      <c r="A15" s="4">
        <v>2035</v>
      </c>
      <c r="B15" s="1">
        <f>Eor!H12</f>
        <v>27494.636060497036</v>
      </c>
      <c r="C15" s="1">
        <f>Lanyuak!N12</f>
        <v>27615.818310114057</v>
      </c>
      <c r="D15" s="1">
        <f>Mumberes!O13</f>
        <v>26324.807383370891</v>
      </c>
      <c r="E15" s="1">
        <f>Kabianga!H12</f>
        <v>48070.702410939186</v>
      </c>
      <c r="F15" s="1">
        <f>Kipsigis!E12</f>
        <v>31163.499760722858</v>
      </c>
      <c r="H15" s="1">
        <f t="shared" si="0"/>
        <v>80334.731962822014</v>
      </c>
    </row>
    <row r="16" spans="1:8">
      <c r="A16" s="4">
        <v>2036</v>
      </c>
      <c r="B16" s="1">
        <f>Eor!H13</f>
        <v>26209.899834324555</v>
      </c>
      <c r="C16" s="1">
        <f>Lanyuak!N13</f>
        <v>26326.493049042074</v>
      </c>
      <c r="D16" s="1">
        <f>Mumberes!O14</f>
        <v>24751.614772213681</v>
      </c>
      <c r="E16" s="1">
        <f>Kabianga!H13</f>
        <v>44547.97599131403</v>
      </c>
      <c r="F16" s="1">
        <f>Kipsigis!E13</f>
        <v>28899.114128615496</v>
      </c>
      <c r="H16" s="1">
        <f t="shared" si="0"/>
        <v>75367.548887754921</v>
      </c>
    </row>
    <row r="17" spans="1:8">
      <c r="A17" s="4">
        <v>2037</v>
      </c>
      <c r="B17" s="1">
        <f>Eor!H14</f>
        <v>25058.081107860336</v>
      </c>
      <c r="C17" s="1">
        <f>Lanyuak!N14</f>
        <v>25170.564246184058</v>
      </c>
      <c r="D17" s="1">
        <f>Mumberes!O15</f>
        <v>23394.631636197359</v>
      </c>
      <c r="E17" s="1">
        <f>Kabianga!H14</f>
        <v>41514.952167199583</v>
      </c>
      <c r="F17" s="1">
        <f>Kipsigis!E14</f>
        <v>26948.707709164519</v>
      </c>
      <c r="H17" s="1">
        <f t="shared" si="0"/>
        <v>71043.468433302914</v>
      </c>
    </row>
    <row r="18" spans="1:8">
      <c r="A18" s="4">
        <v>2038</v>
      </c>
      <c r="B18" s="1">
        <f>Eor!H15</f>
        <v>23996.399119737838</v>
      </c>
      <c r="C18" s="1">
        <f>Lanyuak!N15</f>
        <v>24105.080681962794</v>
      </c>
      <c r="D18" s="1">
        <f>Mumberes!O16</f>
        <v>22178.673102410852</v>
      </c>
      <c r="E18" s="1">
        <f>Kabianga!H15</f>
        <v>38813.87024049896</v>
      </c>
      <c r="F18" s="1">
        <f>Kipsigis!E15</f>
        <v>25210.769860866581</v>
      </c>
      <c r="H18" s="1">
        <f t="shared" si="0"/>
        <v>67152.396502738513</v>
      </c>
    </row>
    <row r="19" spans="1:8">
      <c r="A19" s="4">
        <v>2039</v>
      </c>
      <c r="B19" s="1">
        <f>Eor!H16</f>
        <v>23001.365711598715</v>
      </c>
      <c r="C19" s="1">
        <f>Lanyuak!N16</f>
        <v>23106.462189031379</v>
      </c>
      <c r="D19" s="1">
        <f>Mumberes!O17</f>
        <v>21062.598927158389</v>
      </c>
      <c r="E19" s="1">
        <f>Kabianga!H16</f>
        <v>36356.720668503527</v>
      </c>
      <c r="F19" s="1">
        <f>Kipsigis!E16</f>
        <v>23628.743356903222</v>
      </c>
      <c r="H19" s="1">
        <f t="shared" si="0"/>
        <v>63577.945426597624</v>
      </c>
    </row>
    <row r="20" spans="1:8">
      <c r="A20" s="4">
        <v>2040</v>
      </c>
      <c r="B20" s="1">
        <f>Eor!H17</f>
        <v>22059.72197161775</v>
      </c>
      <c r="C20" s="1">
        <f>Lanyuak!N17</f>
        <v>22161.399320135301</v>
      </c>
      <c r="D20" s="1">
        <f>Mumberes!O18</f>
        <v>20023.303398168242</v>
      </c>
      <c r="E20" s="1">
        <f>Kabianga!H17</f>
        <v>34092.609001256606</v>
      </c>
      <c r="F20" s="1">
        <f>Kipsigis!E17</f>
        <v>22169.982740248615</v>
      </c>
      <c r="H20" s="1">
        <f t="shared" si="0"/>
        <v>60253.508215713257</v>
      </c>
    </row>
    <row r="21" spans="1:8">
      <c r="A21" s="4">
        <v>2041</v>
      </c>
      <c r="B21" s="1">
        <f>Eor!H18</f>
        <v>21163.652650141656</v>
      </c>
      <c r="C21" s="1">
        <f>Lanyuak!N18</f>
        <v>21262.048262910164</v>
      </c>
      <c r="D21" s="1">
        <f>Mumberes!O19</f>
        <v>19047.275253839292</v>
      </c>
      <c r="E21" s="1">
        <f>Kabianga!H18</f>
        <v>31990.526160100631</v>
      </c>
      <c r="F21" s="1">
        <f>Kipsigis!E18</f>
        <v>20814.646804785887</v>
      </c>
      <c r="H21" s="1">
        <f t="shared" si="0"/>
        <v>57139.074565888819</v>
      </c>
    </row>
    <row r="22" spans="1:8">
      <c r="A22" s="4">
        <v>2042</v>
      </c>
      <c r="B22" s="1">
        <f>Eor!H19</f>
        <v>20308.257393477852</v>
      </c>
      <c r="C22" s="1">
        <f>Lanyuak!N19</f>
        <v>20403.491782770168</v>
      </c>
      <c r="D22" s="1">
        <f>Mumberes!O20</f>
        <v>18126.143756416423</v>
      </c>
      <c r="E22" s="1">
        <f>Kabianga!H19</f>
        <v>30030.238833189109</v>
      </c>
      <c r="F22" s="1">
        <f>Kipsigis!E19</f>
        <v>19549.826714353527</v>
      </c>
      <c r="H22" s="1">
        <f t="shared" si="0"/>
        <v>54208.979240103537</v>
      </c>
    </row>
    <row r="23" spans="1:8">
      <c r="A23" s="4">
        <v>2043</v>
      </c>
      <c r="B23" s="1">
        <f>Eor!H20</f>
        <v>19490.21324293923</v>
      </c>
      <c r="C23" s="1">
        <f>Lanyuak!N20</f>
        <v>19582.39628766416</v>
      </c>
      <c r="D23" s="1">
        <f>Mumberes!O21</f>
        <v>17254.325143942679</v>
      </c>
      <c r="E23" s="1">
        <f>Kabianga!H20</f>
        <v>28197.4628490014</v>
      </c>
      <c r="F23" s="1">
        <f>Kipsigis!E20</f>
        <v>18366.435510056719</v>
      </c>
      <c r="H23" s="1">
        <f t="shared" si="0"/>
        <v>51445.416516802092</v>
      </c>
    </row>
    <row r="24" spans="1:8">
      <c r="A24" s="4">
        <v>2044</v>
      </c>
      <c r="B24" s="1">
        <f>Eor!H21</f>
        <v>18707.066190035388</v>
      </c>
      <c r="C24" s="1">
        <f>Lanyuak!N21</f>
        <v>18796.300510934041</v>
      </c>
      <c r="D24" s="1">
        <f>Mumberes!O22</f>
        <v>16427.776415639775</v>
      </c>
      <c r="E24" s="1">
        <f>Kabianga!H21</f>
        <v>26481.297154278411</v>
      </c>
      <c r="F24" s="1">
        <f>Kipsigis!E21</f>
        <v>17257.555005902399</v>
      </c>
      <c r="H24" s="1">
        <f t="shared" si="0"/>
        <v>48834.997638395005</v>
      </c>
    </row>
    <row r="25" spans="1:8">
      <c r="A25" s="4">
        <v>2045</v>
      </c>
      <c r="B25" s="1">
        <f>Eor!H22</f>
        <v>17956.855028966031</v>
      </c>
      <c r="C25" s="1">
        <f>Lanyuak!N22</f>
        <v>18043.23784340997</v>
      </c>
      <c r="D25" s="1">
        <f>Mumberes!O23</f>
        <v>15643.333244722035</v>
      </c>
      <c r="E25" s="1">
        <f>Kabianga!H22</f>
        <v>24872.851923308775</v>
      </c>
      <c r="F25" s="1">
        <f>Kipsigis!E22</f>
        <v>16217.552456934549</v>
      </c>
      <c r="H25" s="1">
        <f t="shared" si="0"/>
        <v>46366.915248670673</v>
      </c>
    </row>
    <row r="26" spans="1:8">
      <c r="A26" s="4">
        <v>2046</v>
      </c>
      <c r="B26" s="1">
        <f>Eor!H23</f>
        <v>17237.910820904566</v>
      </c>
      <c r="C26" s="1">
        <f>Lanyuak!N23</f>
        <v>17321.534990945183</v>
      </c>
      <c r="D26" s="1">
        <f>Mumberes!O24</f>
        <v>14898.356251071726</v>
      </c>
      <c r="E26" s="1">
        <f>Kabianga!H23</f>
        <v>23364.508169636923</v>
      </c>
      <c r="F26" s="1">
        <f>Kipsigis!E23</f>
        <v>15241.604259053349</v>
      </c>
      <c r="H26" s="1">
        <f t="shared" si="0"/>
        <v>44031.957245805876</v>
      </c>
    </row>
    <row r="27" spans="1:8">
      <c r="A27" s="4">
        <v>2047</v>
      </c>
      <c r="B27" s="1">
        <f>Eor!H24</f>
        <v>16548.749224637701</v>
      </c>
      <c r="C27" s="1">
        <f>Lanyuak!N24</f>
        <v>16629.703875206225</v>
      </c>
      <c r="D27" s="1">
        <f>Mumberes!O25</f>
        <v>14190.540235111479</v>
      </c>
      <c r="E27" s="1">
        <f>Kabianga!H24</f>
        <v>21949.51191875833</v>
      </c>
      <c r="F27" s="1">
        <f>Kipsigis!E24</f>
        <v>14325.435245533636</v>
      </c>
      <c r="H27" s="1">
        <f t="shared" si="0"/>
        <v>41821.970249623686</v>
      </c>
    </row>
    <row r="28" spans="1:8">
      <c r="A28" s="4">
        <v>2048</v>
      </c>
      <c r="B28" s="1">
        <f>Eor!H25</f>
        <v>15888.011987240236</v>
      </c>
      <c r="C28" s="1">
        <f>Lanyuak!N25</f>
        <v>15966.382893701679</v>
      </c>
      <c r="D28" s="1">
        <f>Mumberes!O26</f>
        <v>13517.809683706942</v>
      </c>
      <c r="E28" s="1">
        <f>Kabianga!H25</f>
        <v>20621.746147718313</v>
      </c>
      <c r="F28" s="1">
        <f>Kipsigis!E25</f>
        <v>13465.172503530517</v>
      </c>
      <c r="H28" s="1">
        <f t="shared" si="0"/>
        <v>39729.561607948839</v>
      </c>
    </row>
    <row r="29" spans="1:8">
      <c r="A29" s="4">
        <v>2049</v>
      </c>
      <c r="B29" s="1">
        <f>Eor!H26</f>
        <v>15254.434503747234</v>
      </c>
      <c r="C29" s="1">
        <f>Lanyuak!N26</f>
        <v>15330.304354208107</v>
      </c>
      <c r="D29" s="1">
        <f>Mumberes!O27</f>
        <v>12878.260080630369</v>
      </c>
      <c r="E29" s="1">
        <f>Kabianga!H26</f>
        <v>19375.597643938738</v>
      </c>
      <c r="F29" s="1">
        <f>Kipsigis!E26</f>
        <v>12657.260307748915</v>
      </c>
      <c r="H29" s="1">
        <f t="shared" si="0"/>
        <v>37747.928445136684</v>
      </c>
    </row>
    <row r="30" spans="1:8">
      <c r="A30" s="4">
        <v>2050</v>
      </c>
      <c r="B30" s="1">
        <f>Eor!H27</f>
        <v>14646.827242332451</v>
      </c>
      <c r="C30" s="1">
        <f>Lanyuak!N27</f>
        <v>14720.275830585188</v>
      </c>
      <c r="D30" s="1">
        <f>Mumberes!O28</f>
        <v>12270.123653674962</v>
      </c>
      <c r="E30" s="1">
        <f>Kabianga!H27</f>
        <v>18205.8749625907</v>
      </c>
      <c r="F30" s="1">
        <f>Kipsigis!E27</f>
        <v>11898.407928330145</v>
      </c>
      <c r="H30" s="1">
        <f t="shared" si="0"/>
        <v>35870.754808756719</v>
      </c>
    </row>
    <row r="31" spans="1:8">
      <c r="A31" s="4">
        <v>2051</v>
      </c>
      <c r="B31" s="1">
        <f>Eor!H28</f>
        <v>14064.064582307677</v>
      </c>
      <c r="C31" s="1">
        <f>Lanyuak!N28</f>
        <v>14135.168961144062</v>
      </c>
      <c r="D31" s="1">
        <f>Mumberes!O29</f>
        <v>11691.748264168367</v>
      </c>
      <c r="E31" s="1">
        <f>Kabianga!H28</f>
        <v>17107.75426603479</v>
      </c>
      <c r="F31" s="1">
        <f>Kipsigis!E28</f>
        <v>11185.555352427215</v>
      </c>
      <c r="H31" s="1">
        <f t="shared" si="0"/>
        <v>34092.145713041056</v>
      </c>
    </row>
    <row r="32" spans="1:8">
      <c r="A32" s="4">
        <v>2052</v>
      </c>
      <c r="B32" s="1">
        <f>Eor!H29</f>
        <v>13505.077650149196</v>
      </c>
      <c r="C32" s="1">
        <f>Lanyuak!N29</f>
        <v>13573.912260941999</v>
      </c>
      <c r="D32" s="1">
        <f>Mumberes!O30</f>
        <v>11141.583459457866</v>
      </c>
      <c r="E32" s="1">
        <f>Kabianga!H29</f>
        <v>16076.740711590444</v>
      </c>
      <c r="F32" s="1">
        <f>Kipsigis!E29</f>
        <v>10515.848974000479</v>
      </c>
      <c r="H32" s="1">
        <f t="shared" si="0"/>
        <v>32406.58152806999</v>
      </c>
    </row>
    <row r="33" spans="1:8">
      <c r="A33" s="4">
        <v>2053</v>
      </c>
      <c r="B33" s="1">
        <f>Eor!H30</f>
        <v>12968.849343983828</v>
      </c>
      <c r="C33" s="1">
        <f>Lanyuak!N30</f>
        <v>13035.48613113455</v>
      </c>
      <c r="D33" s="1">
        <f>Mumberes!O31</f>
        <v>10618.170514207672</v>
      </c>
      <c r="E33" s="1">
        <f>Kabianga!H30</f>
        <v>15108.638805422137</v>
      </c>
      <c r="F33" s="1">
        <f>Kipsigis!E30</f>
        <v>9886.6230135419592</v>
      </c>
      <c r="H33" s="1">
        <f t="shared" si="0"/>
        <v>30808.883904145074</v>
      </c>
    </row>
    <row r="34" spans="1:8">
      <c r="A34" s="4">
        <v>2054</v>
      </c>
      <c r="B34" s="1">
        <f>Eor!H31</f>
        <v>12454.410585231792</v>
      </c>
      <c r="C34" s="1">
        <f>Lanyuak!N31</f>
        <v>12518.919100194573</v>
      </c>
      <c r="D34" s="1">
        <f>Mumberes!O32</f>
        <v>10120.134767941989</v>
      </c>
      <c r="E34" s="1">
        <f>Kabianga!H31</f>
        <v>14199.528183453229</v>
      </c>
      <c r="F34" s="1">
        <f>Kipsigis!E31</f>
        <v>9295.3843906427355</v>
      </c>
      <c r="H34" s="1">
        <f t="shared" si="0"/>
        <v>29294.188513732159</v>
      </c>
    </row>
    <row r="35" spans="1:8">
      <c r="A35" s="4">
        <v>2055</v>
      </c>
      <c r="B35" s="1">
        <f>Eor!H32</f>
        <v>11960.83728473376</v>
      </c>
      <c r="C35" s="1">
        <f>Lanyuak!N32</f>
        <v>12023.284782272305</v>
      </c>
      <c r="D35" s="1">
        <f>Mumberes!O33</f>
        <v>9646.1793496124137</v>
      </c>
      <c r="E35" s="1">
        <f>Kabianga!H32</f>
        <v>13345.742892580016</v>
      </c>
      <c r="F35" s="1">
        <f>Kipsigis!E32</f>
        <v>8739.7998112745972</v>
      </c>
      <c r="H35" s="1">
        <f t="shared" si="0"/>
        <v>27857.922060236546</v>
      </c>
    </row>
    <row r="36" spans="1:8">
      <c r="A36" s="4">
        <v>2056</v>
      </c>
      <c r="B36" s="1">
        <f>Eor!H33</f>
        <v>11487.247747942945</v>
      </c>
      <c r="C36" s="1">
        <f>Lanyuak!N33</f>
        <v>11547.699276182195</v>
      </c>
      <c r="D36" s="1">
        <f>Mumberes!O34</f>
        <v>9195.0797947728934</v>
      </c>
      <c r="E36" s="1">
        <f>Kabianga!H33</f>
        <v>12543.853102456715</v>
      </c>
      <c r="F36" s="1">
        <f>Kipsigis!E33</f>
        <v>8217.6843837537417</v>
      </c>
      <c r="H36" s="1">
        <f t="shared" si="0"/>
        <v>26495.782152554246</v>
      </c>
    </row>
    <row r="37" spans="1:8">
      <c r="A37" s="4">
        <v>2057</v>
      </c>
      <c r="B37" s="1">
        <f>Eor!H34</f>
        <v>11032.800369579911</v>
      </c>
      <c r="C37" s="1">
        <f>Lanyuak!N34</f>
        <v>11091.318854799905</v>
      </c>
      <c r="D37" s="1">
        <f>Mumberes!O35</f>
        <v>8765.6792811249579</v>
      </c>
      <c r="E37" s="1">
        <f>Kabianga!H34</f>
        <v>11790.648635285186</v>
      </c>
      <c r="F37" s="1">
        <f>Kipsigis!E34</f>
        <v>7726.9913716941683</v>
      </c>
      <c r="H37" s="1">
        <f t="shared" si="0"/>
        <v>25203.719256242061</v>
      </c>
    </row>
    <row r="38" spans="1:8">
      <c r="A38" s="4">
        <v>2058</v>
      </c>
      <c r="B38" s="1">
        <f>Eor!H35</f>
        <v>10596.691534825117</v>
      </c>
      <c r="C38" s="1">
        <f>Lanyuak!N35</f>
        <v>10653.337861649305</v>
      </c>
      <c r="D38" s="1">
        <f>Mumberes!O36</f>
        <v>8356.8843257230928</v>
      </c>
      <c r="E38" s="1">
        <f>Kabianga!H35</f>
        <v>11083.123946929411</v>
      </c>
      <c r="F38" s="1">
        <f>Kipsigis!E35</f>
        <v>7265.802850474608</v>
      </c>
      <c r="H38" s="1">
        <f t="shared" si="0"/>
        <v>23977.920259800765</v>
      </c>
    </row>
    <row r="39" spans="1:8">
      <c r="A39" s="4">
        <v>2059</v>
      </c>
      <c r="B39" s="1">
        <f>Eor!H36</f>
        <v>10178.153679716594</v>
      </c>
      <c r="C39" s="1">
        <f>Lanyuak!N36</f>
        <v>10232.986767141421</v>
      </c>
      <c r="D39" s="1">
        <f>Mumberes!O37</f>
        <v>7967.6608501583923</v>
      </c>
      <c r="E39" s="1">
        <f>Kabianga!H36</f>
        <v>10418.464326561254</v>
      </c>
      <c r="F39" s="1">
        <f>Kipsigis!E36</f>
        <v>6832.3211198294493</v>
      </c>
      <c r="H39" s="1">
        <f t="shared" si="0"/>
        <v>22814.793371703556</v>
      </c>
    </row>
    <row r="40" spans="1:8">
      <c r="A40" s="4">
        <v>2060</v>
      </c>
      <c r="B40" s="1">
        <f>Eor!H37</f>
        <v>9776.4534824453331</v>
      </c>
      <c r="C40" s="1">
        <f>Lanyuak!N37</f>
        <v>9829.5303560688535</v>
      </c>
      <c r="D40" s="1">
        <f>Mumberes!O38</f>
        <v>7597.0305543545828</v>
      </c>
      <c r="E40" s="1">
        <f>Kabianga!H37</f>
        <v>9794.0331560188533</v>
      </c>
      <c r="F40" s="1">
        <f>Kipsigis!E37</f>
        <v>6424.860772595549</v>
      </c>
      <c r="H40" s="1">
        <f t="shared" si="0"/>
        <v>21710.954160741589</v>
      </c>
    </row>
    <row r="41" spans="1:8">
      <c r="A41" s="4">
        <v>2061</v>
      </c>
      <c r="B41" s="1">
        <f>Eor!H38</f>
        <v>9390.8901675760953</v>
      </c>
      <c r="C41" s="1">
        <f>Lanyuak!N38</f>
        <v>9442.2660283100086</v>
      </c>
      <c r="D41" s="1">
        <f>Mumberes!O39</f>
        <v>7244.0675586165662</v>
      </c>
      <c r="E41" s="1">
        <f>Kabianga!H38</f>
        <v>9207.3601125987752</v>
      </c>
      <c r="F41" s="1">
        <f>Kipsigis!E38</f>
        <v>6041.8413468949102</v>
      </c>
      <c r="H41" s="1">
        <f t="shared" si="0"/>
        <v>20663.212606998179</v>
      </c>
    </row>
    <row r="42" spans="1:8">
      <c r="A42" s="4">
        <v>2062</v>
      </c>
      <c r="B42" s="1">
        <f>Eor!H39</f>
        <v>9020.7939108569626</v>
      </c>
      <c r="C42" s="1">
        <f>Lanyuak!N39</f>
        <v>9070.5222003711788</v>
      </c>
      <c r="D42" s="1">
        <f>Mumberes!O40</f>
        <v>6907.8952843840671</v>
      </c>
      <c r="E42" s="1">
        <f>Kabianga!H39</f>
        <v>8656.1302241499543</v>
      </c>
      <c r="F42" s="1">
        <f>Kipsigis!E39</f>
        <v>5681.7805050114284</v>
      </c>
      <c r="H42" s="1">
        <f t="shared" si="0"/>
        <v>19668.561062386794</v>
      </c>
    </row>
    <row r="43" spans="1:8">
      <c r="A43" s="4">
        <v>2063</v>
      </c>
      <c r="B43" s="1">
        <f>Eor!H40</f>
        <v>8665.5243355317671</v>
      </c>
      <c r="C43" s="1">
        <f>Lanyuak!N40</f>
        <v>8713.6567986507835</v>
      </c>
      <c r="D43" s="1">
        <f>Mumberes!O41</f>
        <v>6587.6835506002399</v>
      </c>
      <c r="E43" s="1">
        <f>Kabianga!H40</f>
        <v>8138.1737011954974</v>
      </c>
      <c r="F43" s="1">
        <f>Kipsigis!E40</f>
        <v>5343.2876923489066</v>
      </c>
      <c r="H43" s="1">
        <f t="shared" si="0"/>
        <v>18724.163039163599</v>
      </c>
    </row>
    <row r="44" spans="1:8">
      <c r="A44" s="4">
        <v>2064</v>
      </c>
      <c r="B44" s="1">
        <f>Eor!H41</f>
        <v>8324.4690929019853</v>
      </c>
      <c r="C44" s="1">
        <f>Lanyuak!N41</f>
        <v>8371.0558371421248</v>
      </c>
      <c r="D44" s="1">
        <f>Mumberes!O42</f>
        <v>6282.6458666787858</v>
      </c>
      <c r="E44" s="1">
        <f>Kabianga!H41</f>
        <v>7651.4564816848215</v>
      </c>
      <c r="F44" s="1">
        <f>Kipsigis!E41</f>
        <v>5025.0582366475355</v>
      </c>
      <c r="H44" s="1">
        <f t="shared" si="0"/>
        <v>17827.342757527626</v>
      </c>
    </row>
    <row r="45" spans="1:8">
      <c r="A45" s="4">
        <v>2065</v>
      </c>
      <c r="B45" s="1">
        <f>Eor!H42</f>
        <v>7997.04252107916</v>
      </c>
      <c r="C45" s="1">
        <f>Lanyuak!N42</f>
        <v>8042.1320735183417</v>
      </c>
      <c r="D45" s="1">
        <f>Mumberes!O43</f>
        <v>5992.0369057484895</v>
      </c>
      <c r="E45" s="1">
        <f>Kabianga!H42</f>
        <v>7194.0714315191572</v>
      </c>
      <c r="F45" s="1">
        <f>Kipsigis!E42</f>
        <v>4725.8678523779299</v>
      </c>
      <c r="H45" s="1">
        <f>SUM(B45:F45)*$G$3</f>
        <v>16975.57539212154</v>
      </c>
    </row>
    <row r="47" spans="1:8">
      <c r="G47" s="1" t="s">
        <v>12</v>
      </c>
      <c r="H47" s="1">
        <f>SUM(H6:H45)</f>
        <v>3534761.8700217889</v>
      </c>
    </row>
    <row r="48" spans="1:8">
      <c r="G48" s="1" t="s">
        <v>11</v>
      </c>
      <c r="H48" s="1">
        <f>H47/40</f>
        <v>88369.046750544716</v>
      </c>
    </row>
    <row r="49" spans="7:8">
      <c r="H49" s="1">
        <f>H48/35000</f>
        <v>2.5248299071584204</v>
      </c>
    </row>
    <row r="50" spans="7:8">
      <c r="G50" s="1" t="s">
        <v>15</v>
      </c>
      <c r="H50" s="1">
        <f>AVERAGE(H6:H15)</f>
        <v>237164.77012100857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C41C-1BC9-EA45-B875-C5F0B93D7AE5}">
  <dimension ref="A1:H49"/>
  <sheetViews>
    <sheetView zoomScale="137" workbookViewId="0">
      <selection activeCell="H33" sqref="H33"/>
    </sheetView>
  </sheetViews>
  <sheetFormatPr baseColWidth="10" defaultRowHeight="16"/>
  <cols>
    <col min="1" max="1" width="16.5" customWidth="1"/>
    <col min="8" max="8" width="14" customWidth="1"/>
  </cols>
  <sheetData>
    <row r="1" spans="1:8"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spans="1:8">
      <c r="A2" t="s">
        <v>2</v>
      </c>
      <c r="B2">
        <v>4387</v>
      </c>
      <c r="C2">
        <v>4636</v>
      </c>
      <c r="D2">
        <v>5120</v>
      </c>
      <c r="E2">
        <v>15358</v>
      </c>
      <c r="F2">
        <v>9678</v>
      </c>
    </row>
    <row r="3" spans="1:8">
      <c r="A3" t="s">
        <v>22</v>
      </c>
      <c r="B3">
        <v>3.2894E-2</v>
      </c>
      <c r="C3">
        <v>9.6970000000000001E-2</v>
      </c>
      <c r="D3">
        <v>2.5499999999999998E-2</v>
      </c>
      <c r="E3">
        <v>9.3810000000000004E-3</v>
      </c>
      <c r="F3">
        <v>1.0175E-2</v>
      </c>
    </row>
    <row r="5" spans="1:8">
      <c r="A5" s="1" t="s">
        <v>9</v>
      </c>
    </row>
    <row r="7" spans="1:8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/>
      <c r="H7" s="6" t="s">
        <v>25</v>
      </c>
    </row>
    <row r="8" spans="1:8">
      <c r="A8">
        <v>2026</v>
      </c>
      <c r="B8">
        <f>B$3*B$2</f>
        <v>144.30597800000001</v>
      </c>
      <c r="C8">
        <f t="shared" ref="C8:F23" si="0">C$3*C$2</f>
        <v>449.55292000000003</v>
      </c>
      <c r="D8">
        <f t="shared" si="0"/>
        <v>130.56</v>
      </c>
      <c r="E8">
        <f t="shared" si="0"/>
        <v>144.073398</v>
      </c>
      <c r="F8">
        <f>F$3*F$2</f>
        <v>98.473650000000006</v>
      </c>
      <c r="H8" s="13">
        <f>SUM(B8:F8) * 0.5</f>
        <v>483.48297300000007</v>
      </c>
    </row>
    <row r="9" spans="1:8">
      <c r="A9">
        <v>2027</v>
      </c>
      <c r="B9">
        <f t="shared" ref="B9:F24" si="1">B$3*B$2</f>
        <v>144.30597800000001</v>
      </c>
      <c r="C9">
        <f t="shared" si="0"/>
        <v>449.55292000000003</v>
      </c>
      <c r="D9">
        <f t="shared" si="0"/>
        <v>130.56</v>
      </c>
      <c r="E9">
        <f t="shared" si="0"/>
        <v>144.073398</v>
      </c>
      <c r="F9">
        <f t="shared" si="0"/>
        <v>98.473650000000006</v>
      </c>
      <c r="H9" s="13">
        <f t="shared" ref="H9:H47" si="2">SUM(B9:F9) * 0.5</f>
        <v>483.48297300000007</v>
      </c>
    </row>
    <row r="10" spans="1:8">
      <c r="A10">
        <v>2028</v>
      </c>
      <c r="B10">
        <f t="shared" si="1"/>
        <v>144.30597800000001</v>
      </c>
      <c r="C10">
        <f t="shared" si="0"/>
        <v>449.55292000000003</v>
      </c>
      <c r="D10">
        <f t="shared" si="0"/>
        <v>130.56</v>
      </c>
      <c r="E10">
        <f t="shared" si="0"/>
        <v>144.073398</v>
      </c>
      <c r="F10">
        <f t="shared" si="0"/>
        <v>98.473650000000006</v>
      </c>
      <c r="H10" s="13">
        <f t="shared" si="2"/>
        <v>483.48297300000007</v>
      </c>
    </row>
    <row r="11" spans="1:8">
      <c r="A11">
        <v>2029</v>
      </c>
      <c r="B11">
        <f t="shared" si="1"/>
        <v>144.30597800000001</v>
      </c>
      <c r="C11">
        <f t="shared" si="0"/>
        <v>449.55292000000003</v>
      </c>
      <c r="D11">
        <f t="shared" si="0"/>
        <v>130.56</v>
      </c>
      <c r="E11">
        <f t="shared" si="0"/>
        <v>144.073398</v>
      </c>
      <c r="F11">
        <f t="shared" si="0"/>
        <v>98.473650000000006</v>
      </c>
      <c r="H11" s="13">
        <f t="shared" si="2"/>
        <v>483.48297300000007</v>
      </c>
    </row>
    <row r="12" spans="1:8">
      <c r="A12">
        <v>2030</v>
      </c>
      <c r="B12">
        <f t="shared" si="1"/>
        <v>144.30597800000001</v>
      </c>
      <c r="C12">
        <f t="shared" si="0"/>
        <v>449.55292000000003</v>
      </c>
      <c r="D12">
        <f t="shared" si="0"/>
        <v>130.56</v>
      </c>
      <c r="E12">
        <f t="shared" si="0"/>
        <v>144.073398</v>
      </c>
      <c r="F12">
        <f t="shared" si="0"/>
        <v>98.473650000000006</v>
      </c>
      <c r="H12" s="13">
        <f t="shared" si="2"/>
        <v>483.48297300000007</v>
      </c>
    </row>
    <row r="13" spans="1:8">
      <c r="A13">
        <v>2031</v>
      </c>
      <c r="B13">
        <f t="shared" si="1"/>
        <v>144.30597800000001</v>
      </c>
      <c r="C13">
        <f t="shared" si="0"/>
        <v>449.55292000000003</v>
      </c>
      <c r="D13">
        <f t="shared" si="0"/>
        <v>130.56</v>
      </c>
      <c r="E13">
        <f t="shared" si="0"/>
        <v>144.073398</v>
      </c>
      <c r="F13">
        <f t="shared" si="0"/>
        <v>98.473650000000006</v>
      </c>
      <c r="H13" s="13">
        <f t="shared" si="2"/>
        <v>483.48297300000007</v>
      </c>
    </row>
    <row r="14" spans="1:8">
      <c r="A14">
        <v>2032</v>
      </c>
      <c r="B14">
        <f t="shared" si="1"/>
        <v>144.30597800000001</v>
      </c>
      <c r="C14">
        <f t="shared" si="0"/>
        <v>449.55292000000003</v>
      </c>
      <c r="D14">
        <f t="shared" si="0"/>
        <v>130.56</v>
      </c>
      <c r="E14">
        <f t="shared" si="0"/>
        <v>144.073398</v>
      </c>
      <c r="F14">
        <f t="shared" si="0"/>
        <v>98.473650000000006</v>
      </c>
      <c r="H14" s="13">
        <f t="shared" si="2"/>
        <v>483.48297300000007</v>
      </c>
    </row>
    <row r="15" spans="1:8">
      <c r="A15">
        <v>2033</v>
      </c>
      <c r="B15">
        <f t="shared" si="1"/>
        <v>144.30597800000001</v>
      </c>
      <c r="C15">
        <f t="shared" si="0"/>
        <v>449.55292000000003</v>
      </c>
      <c r="D15">
        <f t="shared" si="0"/>
        <v>130.56</v>
      </c>
      <c r="E15">
        <f t="shared" si="0"/>
        <v>144.073398</v>
      </c>
      <c r="F15">
        <f t="shared" si="0"/>
        <v>98.473650000000006</v>
      </c>
      <c r="H15" s="13">
        <f t="shared" si="2"/>
        <v>483.48297300000007</v>
      </c>
    </row>
    <row r="16" spans="1:8">
      <c r="A16">
        <v>2034</v>
      </c>
      <c r="B16">
        <f t="shared" si="1"/>
        <v>144.30597800000001</v>
      </c>
      <c r="C16">
        <f t="shared" si="0"/>
        <v>449.55292000000003</v>
      </c>
      <c r="D16">
        <f t="shared" si="0"/>
        <v>130.56</v>
      </c>
      <c r="E16">
        <f t="shared" si="0"/>
        <v>144.073398</v>
      </c>
      <c r="F16">
        <f t="shared" si="0"/>
        <v>98.473650000000006</v>
      </c>
      <c r="H16" s="13">
        <f t="shared" si="2"/>
        <v>483.48297300000007</v>
      </c>
    </row>
    <row r="17" spans="1:8">
      <c r="A17">
        <v>2035</v>
      </c>
      <c r="B17">
        <f t="shared" si="1"/>
        <v>144.30597800000001</v>
      </c>
      <c r="C17">
        <f t="shared" si="0"/>
        <v>449.55292000000003</v>
      </c>
      <c r="D17">
        <f t="shared" si="0"/>
        <v>130.56</v>
      </c>
      <c r="E17">
        <f t="shared" si="0"/>
        <v>144.073398</v>
      </c>
      <c r="F17">
        <f t="shared" si="0"/>
        <v>98.473650000000006</v>
      </c>
      <c r="H17" s="13">
        <f t="shared" si="2"/>
        <v>483.48297300000007</v>
      </c>
    </row>
    <row r="18" spans="1:8">
      <c r="A18">
        <v>2036</v>
      </c>
      <c r="B18">
        <f t="shared" si="1"/>
        <v>144.30597800000001</v>
      </c>
      <c r="C18">
        <f t="shared" si="0"/>
        <v>449.55292000000003</v>
      </c>
      <c r="D18">
        <f t="shared" si="0"/>
        <v>130.56</v>
      </c>
      <c r="E18">
        <f t="shared" si="0"/>
        <v>144.073398</v>
      </c>
      <c r="F18">
        <f t="shared" si="0"/>
        <v>98.473650000000006</v>
      </c>
      <c r="H18" s="13">
        <f t="shared" si="2"/>
        <v>483.48297300000007</v>
      </c>
    </row>
    <row r="19" spans="1:8">
      <c r="A19">
        <v>2037</v>
      </c>
      <c r="B19">
        <f t="shared" si="1"/>
        <v>144.30597800000001</v>
      </c>
      <c r="C19">
        <f t="shared" si="0"/>
        <v>449.55292000000003</v>
      </c>
      <c r="D19">
        <f t="shared" si="0"/>
        <v>130.56</v>
      </c>
      <c r="E19">
        <f t="shared" si="0"/>
        <v>144.073398</v>
      </c>
      <c r="F19">
        <f t="shared" si="0"/>
        <v>98.473650000000006</v>
      </c>
      <c r="H19" s="13">
        <f t="shared" si="2"/>
        <v>483.48297300000007</v>
      </c>
    </row>
    <row r="20" spans="1:8">
      <c r="A20">
        <v>2038</v>
      </c>
      <c r="B20">
        <f t="shared" si="1"/>
        <v>144.30597800000001</v>
      </c>
      <c r="C20">
        <f t="shared" si="0"/>
        <v>449.55292000000003</v>
      </c>
      <c r="D20">
        <f t="shared" si="0"/>
        <v>130.56</v>
      </c>
      <c r="E20">
        <f t="shared" si="0"/>
        <v>144.073398</v>
      </c>
      <c r="F20">
        <f t="shared" si="0"/>
        <v>98.473650000000006</v>
      </c>
      <c r="H20" s="13">
        <f t="shared" si="2"/>
        <v>483.48297300000007</v>
      </c>
    </row>
    <row r="21" spans="1:8">
      <c r="A21">
        <v>2039</v>
      </c>
      <c r="B21">
        <f t="shared" si="1"/>
        <v>144.30597800000001</v>
      </c>
      <c r="C21">
        <f t="shared" si="0"/>
        <v>449.55292000000003</v>
      </c>
      <c r="D21">
        <f t="shared" si="0"/>
        <v>130.56</v>
      </c>
      <c r="E21">
        <f t="shared" si="0"/>
        <v>144.073398</v>
      </c>
      <c r="F21">
        <f t="shared" si="0"/>
        <v>98.473650000000006</v>
      </c>
      <c r="H21" s="13">
        <f t="shared" si="2"/>
        <v>483.48297300000007</v>
      </c>
    </row>
    <row r="22" spans="1:8">
      <c r="A22">
        <v>2040</v>
      </c>
      <c r="B22">
        <f t="shared" si="1"/>
        <v>144.30597800000001</v>
      </c>
      <c r="C22">
        <f t="shared" si="0"/>
        <v>449.55292000000003</v>
      </c>
      <c r="D22">
        <f t="shared" si="0"/>
        <v>130.56</v>
      </c>
      <c r="E22">
        <f t="shared" si="0"/>
        <v>144.073398</v>
      </c>
      <c r="F22">
        <f t="shared" si="0"/>
        <v>98.473650000000006</v>
      </c>
      <c r="H22" s="13">
        <f t="shared" si="2"/>
        <v>483.48297300000007</v>
      </c>
    </row>
    <row r="23" spans="1:8">
      <c r="A23">
        <v>2041</v>
      </c>
      <c r="B23">
        <f t="shared" si="1"/>
        <v>144.30597800000001</v>
      </c>
      <c r="C23">
        <f t="shared" si="0"/>
        <v>449.55292000000003</v>
      </c>
      <c r="D23">
        <f t="shared" si="0"/>
        <v>130.56</v>
      </c>
      <c r="E23">
        <f t="shared" si="0"/>
        <v>144.073398</v>
      </c>
      <c r="F23">
        <f t="shared" si="0"/>
        <v>98.473650000000006</v>
      </c>
      <c r="H23" s="13">
        <f t="shared" si="2"/>
        <v>483.48297300000007</v>
      </c>
    </row>
    <row r="24" spans="1:8">
      <c r="A24">
        <v>2042</v>
      </c>
      <c r="B24">
        <f t="shared" si="1"/>
        <v>144.30597800000001</v>
      </c>
      <c r="C24">
        <f t="shared" si="1"/>
        <v>449.55292000000003</v>
      </c>
      <c r="D24">
        <f t="shared" si="1"/>
        <v>130.56</v>
      </c>
      <c r="E24">
        <f t="shared" si="1"/>
        <v>144.073398</v>
      </c>
      <c r="F24">
        <f t="shared" si="1"/>
        <v>98.473650000000006</v>
      </c>
      <c r="H24" s="13">
        <f t="shared" si="2"/>
        <v>483.48297300000007</v>
      </c>
    </row>
    <row r="25" spans="1:8">
      <c r="A25">
        <v>2043</v>
      </c>
      <c r="B25">
        <f t="shared" ref="B25:F47" si="3">B$3*B$2</f>
        <v>144.30597800000001</v>
      </c>
      <c r="C25">
        <f t="shared" si="3"/>
        <v>449.55292000000003</v>
      </c>
      <c r="D25">
        <f t="shared" si="3"/>
        <v>130.56</v>
      </c>
      <c r="E25">
        <f t="shared" si="3"/>
        <v>144.073398</v>
      </c>
      <c r="F25">
        <f t="shared" si="3"/>
        <v>98.473650000000006</v>
      </c>
      <c r="H25" s="13">
        <f t="shared" si="2"/>
        <v>483.48297300000007</v>
      </c>
    </row>
    <row r="26" spans="1:8">
      <c r="A26">
        <v>2044</v>
      </c>
      <c r="B26">
        <f t="shared" si="3"/>
        <v>144.30597800000001</v>
      </c>
      <c r="C26">
        <f t="shared" si="3"/>
        <v>449.55292000000003</v>
      </c>
      <c r="D26">
        <f t="shared" si="3"/>
        <v>130.56</v>
      </c>
      <c r="E26">
        <f t="shared" si="3"/>
        <v>144.073398</v>
      </c>
      <c r="F26">
        <f t="shared" si="3"/>
        <v>98.473650000000006</v>
      </c>
      <c r="H26" s="13">
        <f t="shared" si="2"/>
        <v>483.48297300000007</v>
      </c>
    </row>
    <row r="27" spans="1:8">
      <c r="A27">
        <v>2045</v>
      </c>
      <c r="B27">
        <f t="shared" si="3"/>
        <v>144.30597800000001</v>
      </c>
      <c r="C27">
        <f t="shared" si="3"/>
        <v>449.55292000000003</v>
      </c>
      <c r="D27">
        <f t="shared" si="3"/>
        <v>130.56</v>
      </c>
      <c r="E27">
        <f t="shared" si="3"/>
        <v>144.073398</v>
      </c>
      <c r="F27">
        <f t="shared" si="3"/>
        <v>98.473650000000006</v>
      </c>
      <c r="H27" s="13">
        <f t="shared" si="2"/>
        <v>483.48297300000007</v>
      </c>
    </row>
    <row r="28" spans="1:8">
      <c r="A28">
        <v>2046</v>
      </c>
      <c r="B28">
        <f t="shared" si="3"/>
        <v>144.30597800000001</v>
      </c>
      <c r="C28">
        <f t="shared" si="3"/>
        <v>449.55292000000003</v>
      </c>
      <c r="D28">
        <f t="shared" si="3"/>
        <v>130.56</v>
      </c>
      <c r="E28">
        <f t="shared" si="3"/>
        <v>144.073398</v>
      </c>
      <c r="F28">
        <f t="shared" si="3"/>
        <v>98.473650000000006</v>
      </c>
      <c r="H28" s="13">
        <f t="shared" si="2"/>
        <v>483.48297300000007</v>
      </c>
    </row>
    <row r="29" spans="1:8">
      <c r="A29">
        <v>2047</v>
      </c>
      <c r="B29">
        <f t="shared" si="3"/>
        <v>144.30597800000001</v>
      </c>
      <c r="C29">
        <f t="shared" si="3"/>
        <v>449.55292000000003</v>
      </c>
      <c r="D29">
        <f t="shared" si="3"/>
        <v>130.56</v>
      </c>
      <c r="E29">
        <f t="shared" si="3"/>
        <v>144.073398</v>
      </c>
      <c r="F29">
        <f t="shared" si="3"/>
        <v>98.473650000000006</v>
      </c>
      <c r="H29" s="13">
        <f t="shared" si="2"/>
        <v>483.48297300000007</v>
      </c>
    </row>
    <row r="30" spans="1:8">
      <c r="A30">
        <v>2048</v>
      </c>
      <c r="B30">
        <f t="shared" si="3"/>
        <v>144.30597800000001</v>
      </c>
      <c r="C30">
        <f t="shared" si="3"/>
        <v>449.55292000000003</v>
      </c>
      <c r="D30">
        <f t="shared" si="3"/>
        <v>130.56</v>
      </c>
      <c r="E30">
        <f t="shared" si="3"/>
        <v>144.073398</v>
      </c>
      <c r="F30">
        <f t="shared" si="3"/>
        <v>98.473650000000006</v>
      </c>
      <c r="H30" s="13">
        <f t="shared" si="2"/>
        <v>483.48297300000007</v>
      </c>
    </row>
    <row r="31" spans="1:8">
      <c r="A31">
        <v>2049</v>
      </c>
      <c r="B31">
        <f t="shared" si="3"/>
        <v>144.30597800000001</v>
      </c>
      <c r="C31">
        <f t="shared" si="3"/>
        <v>449.55292000000003</v>
      </c>
      <c r="D31">
        <f t="shared" si="3"/>
        <v>130.56</v>
      </c>
      <c r="E31">
        <f t="shared" si="3"/>
        <v>144.073398</v>
      </c>
      <c r="F31">
        <f t="shared" si="3"/>
        <v>98.473650000000006</v>
      </c>
      <c r="H31" s="13">
        <f t="shared" si="2"/>
        <v>483.48297300000007</v>
      </c>
    </row>
    <row r="32" spans="1:8">
      <c r="A32">
        <v>2050</v>
      </c>
      <c r="B32">
        <f t="shared" si="3"/>
        <v>144.30597800000001</v>
      </c>
      <c r="C32">
        <f t="shared" si="3"/>
        <v>449.55292000000003</v>
      </c>
      <c r="D32">
        <f t="shared" si="3"/>
        <v>130.56</v>
      </c>
      <c r="E32">
        <f t="shared" si="3"/>
        <v>144.073398</v>
      </c>
      <c r="F32">
        <f t="shared" si="3"/>
        <v>98.473650000000006</v>
      </c>
      <c r="H32" s="13">
        <f t="shared" si="2"/>
        <v>483.48297300000007</v>
      </c>
    </row>
    <row r="33" spans="1:8">
      <c r="A33">
        <v>2051</v>
      </c>
      <c r="B33">
        <f t="shared" si="3"/>
        <v>144.30597800000001</v>
      </c>
      <c r="C33">
        <f t="shared" si="3"/>
        <v>449.55292000000003</v>
      </c>
      <c r="D33">
        <f t="shared" si="3"/>
        <v>130.56</v>
      </c>
      <c r="E33">
        <f t="shared" si="3"/>
        <v>144.073398</v>
      </c>
      <c r="F33">
        <f t="shared" si="3"/>
        <v>98.473650000000006</v>
      </c>
      <c r="H33" s="13">
        <f t="shared" si="2"/>
        <v>483.48297300000007</v>
      </c>
    </row>
    <row r="34" spans="1:8">
      <c r="A34">
        <v>2052</v>
      </c>
      <c r="B34">
        <f t="shared" si="3"/>
        <v>144.30597800000001</v>
      </c>
      <c r="C34">
        <f t="shared" si="3"/>
        <v>449.55292000000003</v>
      </c>
      <c r="D34">
        <f t="shared" si="3"/>
        <v>130.56</v>
      </c>
      <c r="E34">
        <f t="shared" si="3"/>
        <v>144.073398</v>
      </c>
      <c r="F34">
        <f t="shared" si="3"/>
        <v>98.473650000000006</v>
      </c>
      <c r="H34" s="13">
        <f t="shared" si="2"/>
        <v>483.48297300000007</v>
      </c>
    </row>
    <row r="35" spans="1:8">
      <c r="A35">
        <v>2053</v>
      </c>
      <c r="B35">
        <f t="shared" si="3"/>
        <v>144.30597800000001</v>
      </c>
      <c r="C35">
        <f t="shared" si="3"/>
        <v>449.55292000000003</v>
      </c>
      <c r="D35">
        <f t="shared" si="3"/>
        <v>130.56</v>
      </c>
      <c r="E35">
        <f t="shared" si="3"/>
        <v>144.073398</v>
      </c>
      <c r="F35">
        <f t="shared" si="3"/>
        <v>98.473650000000006</v>
      </c>
      <c r="H35" s="13">
        <f t="shared" si="2"/>
        <v>483.48297300000007</v>
      </c>
    </row>
    <row r="36" spans="1:8">
      <c r="A36">
        <v>2054</v>
      </c>
      <c r="B36">
        <f t="shared" si="3"/>
        <v>144.30597800000001</v>
      </c>
      <c r="C36">
        <f t="shared" si="3"/>
        <v>449.55292000000003</v>
      </c>
      <c r="D36">
        <f t="shared" si="3"/>
        <v>130.56</v>
      </c>
      <c r="E36">
        <f t="shared" si="3"/>
        <v>144.073398</v>
      </c>
      <c r="F36">
        <f t="shared" si="3"/>
        <v>98.473650000000006</v>
      </c>
      <c r="H36" s="13">
        <f t="shared" si="2"/>
        <v>483.48297300000007</v>
      </c>
    </row>
    <row r="37" spans="1:8">
      <c r="A37">
        <v>2055</v>
      </c>
      <c r="B37">
        <f t="shared" si="3"/>
        <v>144.30597800000001</v>
      </c>
      <c r="C37">
        <f t="shared" si="3"/>
        <v>449.55292000000003</v>
      </c>
      <c r="D37">
        <f t="shared" si="3"/>
        <v>130.56</v>
      </c>
      <c r="E37">
        <f t="shared" si="3"/>
        <v>144.073398</v>
      </c>
      <c r="F37">
        <f t="shared" si="3"/>
        <v>98.473650000000006</v>
      </c>
      <c r="H37" s="13">
        <f t="shared" si="2"/>
        <v>483.48297300000007</v>
      </c>
    </row>
    <row r="38" spans="1:8">
      <c r="A38">
        <v>2056</v>
      </c>
      <c r="B38">
        <f t="shared" si="3"/>
        <v>144.30597800000001</v>
      </c>
      <c r="C38">
        <f t="shared" si="3"/>
        <v>449.55292000000003</v>
      </c>
      <c r="D38">
        <f t="shared" si="3"/>
        <v>130.56</v>
      </c>
      <c r="E38">
        <f t="shared" si="3"/>
        <v>144.073398</v>
      </c>
      <c r="F38">
        <f t="shared" si="3"/>
        <v>98.473650000000006</v>
      </c>
      <c r="H38" s="13">
        <f t="shared" si="2"/>
        <v>483.48297300000007</v>
      </c>
    </row>
    <row r="39" spans="1:8">
      <c r="A39">
        <v>2057</v>
      </c>
      <c r="B39">
        <f t="shared" si="3"/>
        <v>144.30597800000001</v>
      </c>
      <c r="C39">
        <f t="shared" si="3"/>
        <v>449.55292000000003</v>
      </c>
      <c r="D39">
        <f t="shared" si="3"/>
        <v>130.56</v>
      </c>
      <c r="E39">
        <f t="shared" si="3"/>
        <v>144.073398</v>
      </c>
      <c r="F39">
        <f t="shared" si="3"/>
        <v>98.473650000000006</v>
      </c>
      <c r="H39" s="13">
        <f t="shared" si="2"/>
        <v>483.48297300000007</v>
      </c>
    </row>
    <row r="40" spans="1:8">
      <c r="A40">
        <v>2058</v>
      </c>
      <c r="B40">
        <f t="shared" si="3"/>
        <v>144.30597800000001</v>
      </c>
      <c r="C40">
        <f t="shared" si="3"/>
        <v>449.55292000000003</v>
      </c>
      <c r="D40">
        <f t="shared" si="3"/>
        <v>130.56</v>
      </c>
      <c r="E40">
        <f t="shared" si="3"/>
        <v>144.073398</v>
      </c>
      <c r="F40">
        <f t="shared" si="3"/>
        <v>98.473650000000006</v>
      </c>
      <c r="H40" s="13">
        <f t="shared" si="2"/>
        <v>483.48297300000007</v>
      </c>
    </row>
    <row r="41" spans="1:8">
      <c r="A41">
        <v>2059</v>
      </c>
      <c r="B41">
        <f t="shared" si="3"/>
        <v>144.30597800000001</v>
      </c>
      <c r="C41">
        <f t="shared" si="3"/>
        <v>449.55292000000003</v>
      </c>
      <c r="D41">
        <f t="shared" si="3"/>
        <v>130.56</v>
      </c>
      <c r="E41">
        <f t="shared" si="3"/>
        <v>144.073398</v>
      </c>
      <c r="F41">
        <f t="shared" si="3"/>
        <v>98.473650000000006</v>
      </c>
      <c r="H41" s="13">
        <f t="shared" si="2"/>
        <v>483.48297300000007</v>
      </c>
    </row>
    <row r="42" spans="1:8">
      <c r="A42">
        <v>2060</v>
      </c>
      <c r="B42">
        <f t="shared" si="3"/>
        <v>144.30597800000001</v>
      </c>
      <c r="C42">
        <f t="shared" si="3"/>
        <v>449.55292000000003</v>
      </c>
      <c r="D42">
        <f t="shared" si="3"/>
        <v>130.56</v>
      </c>
      <c r="E42">
        <f t="shared" si="3"/>
        <v>144.073398</v>
      </c>
      <c r="F42">
        <f t="shared" si="3"/>
        <v>98.473650000000006</v>
      </c>
      <c r="H42" s="13">
        <f t="shared" si="2"/>
        <v>483.48297300000007</v>
      </c>
    </row>
    <row r="43" spans="1:8">
      <c r="A43">
        <v>2061</v>
      </c>
      <c r="B43">
        <f t="shared" si="3"/>
        <v>144.30597800000001</v>
      </c>
      <c r="C43">
        <f t="shared" si="3"/>
        <v>449.55292000000003</v>
      </c>
      <c r="D43">
        <f t="shared" si="3"/>
        <v>130.56</v>
      </c>
      <c r="E43">
        <f t="shared" si="3"/>
        <v>144.073398</v>
      </c>
      <c r="F43">
        <f t="shared" si="3"/>
        <v>98.473650000000006</v>
      </c>
      <c r="H43" s="13">
        <f t="shared" si="2"/>
        <v>483.48297300000007</v>
      </c>
    </row>
    <row r="44" spans="1:8">
      <c r="A44">
        <v>2062</v>
      </c>
      <c r="B44">
        <f t="shared" si="3"/>
        <v>144.30597800000001</v>
      </c>
      <c r="C44">
        <f t="shared" si="3"/>
        <v>449.55292000000003</v>
      </c>
      <c r="D44">
        <f t="shared" si="3"/>
        <v>130.56</v>
      </c>
      <c r="E44">
        <f t="shared" si="3"/>
        <v>144.073398</v>
      </c>
      <c r="F44">
        <f t="shared" si="3"/>
        <v>98.473650000000006</v>
      </c>
      <c r="H44" s="13">
        <f t="shared" si="2"/>
        <v>483.48297300000007</v>
      </c>
    </row>
    <row r="45" spans="1:8">
      <c r="A45">
        <v>2063</v>
      </c>
      <c r="B45">
        <f t="shared" si="3"/>
        <v>144.30597800000001</v>
      </c>
      <c r="C45">
        <f t="shared" si="3"/>
        <v>449.55292000000003</v>
      </c>
      <c r="D45">
        <f t="shared" si="3"/>
        <v>130.56</v>
      </c>
      <c r="E45">
        <f t="shared" si="3"/>
        <v>144.073398</v>
      </c>
      <c r="F45">
        <f t="shared" si="3"/>
        <v>98.473650000000006</v>
      </c>
      <c r="H45" s="13">
        <f t="shared" si="2"/>
        <v>483.48297300000007</v>
      </c>
    </row>
    <row r="46" spans="1:8">
      <c r="A46">
        <v>2064</v>
      </c>
      <c r="B46">
        <f t="shared" si="3"/>
        <v>144.30597800000001</v>
      </c>
      <c r="C46">
        <f t="shared" si="3"/>
        <v>449.55292000000003</v>
      </c>
      <c r="D46">
        <f t="shared" si="3"/>
        <v>130.56</v>
      </c>
      <c r="E46">
        <f t="shared" si="3"/>
        <v>144.073398</v>
      </c>
      <c r="F46">
        <f t="shared" si="3"/>
        <v>98.473650000000006</v>
      </c>
      <c r="H46" s="13">
        <f t="shared" si="2"/>
        <v>483.48297300000007</v>
      </c>
    </row>
    <row r="47" spans="1:8">
      <c r="A47">
        <v>2065</v>
      </c>
      <c r="B47">
        <f t="shared" si="3"/>
        <v>144.30597800000001</v>
      </c>
      <c r="C47">
        <f t="shared" si="3"/>
        <v>449.55292000000003</v>
      </c>
      <c r="D47">
        <f t="shared" si="3"/>
        <v>130.56</v>
      </c>
      <c r="E47">
        <f t="shared" si="3"/>
        <v>144.073398</v>
      </c>
      <c r="F47">
        <f t="shared" si="3"/>
        <v>98.473650000000006</v>
      </c>
      <c r="H47" s="13">
        <f t="shared" si="2"/>
        <v>483.48297300000007</v>
      </c>
    </row>
    <row r="49" spans="8:8">
      <c r="H49" s="13">
        <f>SUM(H8:H47)</f>
        <v>19339.318919999991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2BFC-0ECB-3141-9EA5-B06B472A45A9}">
  <dimension ref="A1:L51"/>
  <sheetViews>
    <sheetView topLeftCell="E1" zoomScale="150" workbookViewId="0">
      <selection activeCell="L49" sqref="L49"/>
    </sheetView>
  </sheetViews>
  <sheetFormatPr baseColWidth="10" defaultColWidth="15.33203125" defaultRowHeight="16"/>
  <sheetData>
    <row r="1" spans="1:12">
      <c r="A1" s="8" t="s">
        <v>3</v>
      </c>
      <c r="B1" s="8" t="s">
        <v>10</v>
      </c>
      <c r="L1" t="s">
        <v>14</v>
      </c>
    </row>
    <row r="2" spans="1:12">
      <c r="A2" s="7" t="s">
        <v>13</v>
      </c>
      <c r="B2" s="7">
        <v>5</v>
      </c>
      <c r="C2" s="7">
        <v>10</v>
      </c>
      <c r="D2" s="7">
        <v>15</v>
      </c>
      <c r="E2" s="7">
        <v>20</v>
      </c>
      <c r="F2" s="7">
        <v>25</v>
      </c>
      <c r="G2" s="7">
        <v>30</v>
      </c>
      <c r="H2" s="7">
        <v>35</v>
      </c>
      <c r="I2" s="7">
        <v>40</v>
      </c>
      <c r="J2" s="7">
        <v>45</v>
      </c>
      <c r="K2" s="7">
        <v>50</v>
      </c>
    </row>
    <row r="3" spans="1:12">
      <c r="A3">
        <v>2026</v>
      </c>
      <c r="B3" s="1">
        <f>Summary_Removals!$H6</f>
        <v>821101.42037601292</v>
      </c>
      <c r="L3" s="5">
        <f>SUM(B3:K3)</f>
        <v>821101.42037601292</v>
      </c>
    </row>
    <row r="4" spans="1:12">
      <c r="A4">
        <v>2027</v>
      </c>
      <c r="B4" s="1">
        <f>Summary_Removals!$H7</f>
        <v>438618.78975034383</v>
      </c>
      <c r="C4" s="1">
        <f>Summary_Removals!$H6</f>
        <v>821101.42037601292</v>
      </c>
      <c r="L4" s="5">
        <f t="shared" ref="L4:L42" si="0">SUM(B4:K4)</f>
        <v>1259720.2101263567</v>
      </c>
    </row>
    <row r="5" spans="1:12">
      <c r="A5">
        <v>2028</v>
      </c>
      <c r="B5" s="1">
        <f>Summary_Removals!$H8</f>
        <v>280542.4127075728</v>
      </c>
      <c r="C5" s="1">
        <f>Summary_Removals!$H7</f>
        <v>438618.78975034383</v>
      </c>
      <c r="D5" s="6">
        <f>Summary_Removals!$H6</f>
        <v>821101.42037601292</v>
      </c>
      <c r="L5" s="5">
        <f t="shared" si="0"/>
        <v>1540262.6228339295</v>
      </c>
    </row>
    <row r="6" spans="1:12">
      <c r="A6">
        <v>2029</v>
      </c>
      <c r="B6" s="1">
        <f>Summary_Removals!$H9</f>
        <v>195610.66434031486</v>
      </c>
      <c r="C6" s="1">
        <f>Summary_Removals!$H8</f>
        <v>280542.4127075728</v>
      </c>
      <c r="D6" s="6">
        <f>Summary_Removals!$H7</f>
        <v>438618.78975034383</v>
      </c>
      <c r="E6" s="6">
        <f>Summary_Removals!$H6</f>
        <v>821101.42037601292</v>
      </c>
      <c r="L6" s="5">
        <f t="shared" si="0"/>
        <v>1735873.2871742444</v>
      </c>
    </row>
    <row r="7" spans="1:12">
      <c r="A7">
        <v>2030</v>
      </c>
      <c r="B7" s="1">
        <f>Summary_Removals!$H10</f>
        <v>148595.57025444848</v>
      </c>
      <c r="C7" s="1">
        <f>Summary_Removals!$H9</f>
        <v>195610.66434031486</v>
      </c>
      <c r="D7" s="6">
        <f>Summary_Removals!$H8</f>
        <v>280542.4127075728</v>
      </c>
      <c r="E7" s="6">
        <f>Summary_Removals!$H7</f>
        <v>438618.78975034383</v>
      </c>
      <c r="F7" s="6">
        <f>Summary_Removals!$H6</f>
        <v>821101.42037601292</v>
      </c>
      <c r="L7" s="5">
        <f t="shared" si="0"/>
        <v>1884468.8574286927</v>
      </c>
    </row>
    <row r="8" spans="1:12">
      <c r="A8">
        <v>2031</v>
      </c>
      <c r="B8" s="1">
        <f>Summary_Removals!$H11</f>
        <v>121486.32310306156</v>
      </c>
      <c r="C8" s="1">
        <f>Summary_Removals!$H10</f>
        <v>148595.57025444848</v>
      </c>
      <c r="D8" s="6">
        <f>Summary_Removals!$H9</f>
        <v>195610.66434031486</v>
      </c>
      <c r="E8" s="6">
        <f>Summary_Removals!$H8</f>
        <v>280542.4127075728</v>
      </c>
      <c r="F8" s="6">
        <f>Summary_Removals!$H7</f>
        <v>438618.78975034383</v>
      </c>
      <c r="G8" s="6">
        <f>Summary_Removals!$H6</f>
        <v>821101.42037601292</v>
      </c>
      <c r="L8" s="5">
        <f t="shared" si="0"/>
        <v>2005955.1805317546</v>
      </c>
    </row>
    <row r="9" spans="1:12">
      <c r="A9">
        <v>2032</v>
      </c>
      <c r="B9" s="1">
        <f>Summary_Removals!$H12</f>
        <v>104943.51551237612</v>
      </c>
      <c r="C9" s="1">
        <f>Summary_Removals!$H11</f>
        <v>121486.32310306156</v>
      </c>
      <c r="D9" s="6">
        <f>Summary_Removals!$H10</f>
        <v>148595.57025444848</v>
      </c>
      <c r="E9" s="6">
        <f>Summary_Removals!$H9</f>
        <v>195610.66434031486</v>
      </c>
      <c r="F9" s="6">
        <f>Summary_Removals!$H8</f>
        <v>280542.4127075728</v>
      </c>
      <c r="G9" s="6">
        <f>Summary_Removals!$H7</f>
        <v>438618.78975034383</v>
      </c>
      <c r="H9" s="6">
        <f>Summary_Removals!$H6</f>
        <v>821101.42037601292</v>
      </c>
      <c r="L9" s="5">
        <f t="shared" si="0"/>
        <v>2110898.6960441307</v>
      </c>
    </row>
    <row r="10" spans="1:12">
      <c r="A10">
        <v>2033</v>
      </c>
      <c r="B10" s="1">
        <f>Summary_Removals!$H13</f>
        <v>94082.138369954962</v>
      </c>
      <c r="C10" s="1">
        <f>Summary_Removals!$H12</f>
        <v>104943.51551237612</v>
      </c>
      <c r="D10" s="6">
        <f>Summary_Removals!$H11</f>
        <v>121486.32310306156</v>
      </c>
      <c r="E10" s="6">
        <f>Summary_Removals!$H10</f>
        <v>148595.57025444848</v>
      </c>
      <c r="F10" s="6">
        <f>Summary_Removals!$H9</f>
        <v>195610.66434031486</v>
      </c>
      <c r="G10" s="6">
        <f>Summary_Removals!$H8</f>
        <v>280542.4127075728</v>
      </c>
      <c r="H10" s="6">
        <f>Summary_Removals!$H7</f>
        <v>438618.78975034383</v>
      </c>
      <c r="I10" s="6">
        <f>Summary_Removals!$H6</f>
        <v>821101.42037601292</v>
      </c>
      <c r="L10" s="5">
        <f t="shared" si="0"/>
        <v>2204980.8344140854</v>
      </c>
    </row>
    <row r="11" spans="1:12">
      <c r="A11">
        <v>2034</v>
      </c>
      <c r="B11" s="1">
        <f>Summary_Removals!$H14</f>
        <v>86332.13483317825</v>
      </c>
      <c r="C11" s="1">
        <f>Summary_Removals!$H13</f>
        <v>94082.138369954962</v>
      </c>
      <c r="D11" s="6">
        <f>Summary_Removals!$H12</f>
        <v>104943.51551237612</v>
      </c>
      <c r="E11" s="6">
        <f>Summary_Removals!$H11</f>
        <v>121486.32310306156</v>
      </c>
      <c r="F11" s="6">
        <f>Summary_Removals!$H10</f>
        <v>148595.57025444848</v>
      </c>
      <c r="G11" s="6">
        <f>Summary_Removals!$H9</f>
        <v>195610.66434031486</v>
      </c>
      <c r="H11" s="6">
        <f>Summary_Removals!$H8</f>
        <v>280542.4127075728</v>
      </c>
      <c r="I11" s="6">
        <f>Summary_Removals!$H7</f>
        <v>438618.78975034383</v>
      </c>
      <c r="J11" s="6">
        <f>Summary_Removals!$H6</f>
        <v>821101.42037601292</v>
      </c>
      <c r="L11" s="5">
        <f t="shared" si="0"/>
        <v>2291312.9692472639</v>
      </c>
    </row>
    <row r="12" spans="1:12">
      <c r="A12">
        <v>2035</v>
      </c>
      <c r="B12" s="1">
        <f>Summary_Removals!$H15</f>
        <v>80334.731962822014</v>
      </c>
      <c r="C12" s="1">
        <f>Summary_Removals!$H14</f>
        <v>86332.13483317825</v>
      </c>
      <c r="D12" s="6">
        <f>Summary_Removals!$H13</f>
        <v>94082.138369954962</v>
      </c>
      <c r="E12" s="6">
        <f>Summary_Removals!$H12</f>
        <v>104943.51551237612</v>
      </c>
      <c r="F12" s="6">
        <f>Summary_Removals!$H11</f>
        <v>121486.32310306156</v>
      </c>
      <c r="G12" s="6">
        <f>Summary_Removals!$H10</f>
        <v>148595.57025444848</v>
      </c>
      <c r="H12" s="6">
        <f>Summary_Removals!$H9</f>
        <v>195610.66434031486</v>
      </c>
      <c r="I12" s="6">
        <f>Summary_Removals!$H8</f>
        <v>280542.4127075728</v>
      </c>
      <c r="J12" s="6">
        <f>Summary_Removals!$H7</f>
        <v>438618.78975034383</v>
      </c>
      <c r="K12" s="6">
        <f>Summary_Removals!$H6</f>
        <v>821101.42037601292</v>
      </c>
      <c r="L12" s="5">
        <f t="shared" si="0"/>
        <v>2371647.7012100858</v>
      </c>
    </row>
    <row r="13" spans="1:12">
      <c r="A13">
        <v>2036</v>
      </c>
      <c r="B13" s="1">
        <f>Summary_Removals!$H16</f>
        <v>75367.548887754921</v>
      </c>
      <c r="C13" s="1">
        <f>Summary_Removals!$H15</f>
        <v>80334.731962822014</v>
      </c>
      <c r="D13" s="6">
        <f>Summary_Removals!$H14</f>
        <v>86332.13483317825</v>
      </c>
      <c r="E13" s="6">
        <f>Summary_Removals!$H13</f>
        <v>94082.138369954962</v>
      </c>
      <c r="F13" s="6">
        <f>Summary_Removals!$H12</f>
        <v>104943.51551237612</v>
      </c>
      <c r="G13" s="6">
        <f>Summary_Removals!$H11</f>
        <v>121486.32310306156</v>
      </c>
      <c r="H13" s="6">
        <f>Summary_Removals!$H10</f>
        <v>148595.57025444848</v>
      </c>
      <c r="I13" s="6">
        <f>Summary_Removals!$H9</f>
        <v>195610.66434031486</v>
      </c>
      <c r="J13" s="6">
        <f>Summary_Removals!$H8</f>
        <v>280542.4127075728</v>
      </c>
      <c r="K13" s="6">
        <f>Summary_Removals!$H7</f>
        <v>438618.78975034383</v>
      </c>
      <c r="L13" s="5">
        <f>SUM(B13:K13)</f>
        <v>1625913.8297218278</v>
      </c>
    </row>
    <row r="14" spans="1:12">
      <c r="A14">
        <v>2037</v>
      </c>
      <c r="B14" s="1">
        <f>Summary_Removals!$H17</f>
        <v>71043.468433302914</v>
      </c>
      <c r="C14" s="1">
        <f>Summary_Removals!$H16</f>
        <v>75367.548887754921</v>
      </c>
      <c r="D14" s="6">
        <f>Summary_Removals!$H15</f>
        <v>80334.731962822014</v>
      </c>
      <c r="E14" s="6">
        <f>Summary_Removals!$H14</f>
        <v>86332.13483317825</v>
      </c>
      <c r="F14" s="6">
        <f>Summary_Removals!$H13</f>
        <v>94082.138369954962</v>
      </c>
      <c r="G14" s="6">
        <f>Summary_Removals!$H12</f>
        <v>104943.51551237612</v>
      </c>
      <c r="H14" s="6">
        <f>Summary_Removals!$H11</f>
        <v>121486.32310306156</v>
      </c>
      <c r="I14" s="6">
        <f>Summary_Removals!$H10</f>
        <v>148595.57025444848</v>
      </c>
      <c r="J14" s="6">
        <f>Summary_Removals!$H9</f>
        <v>195610.66434031486</v>
      </c>
      <c r="K14" s="6">
        <f>Summary_Removals!$H8</f>
        <v>280542.4127075728</v>
      </c>
      <c r="L14" s="5">
        <f t="shared" si="0"/>
        <v>1258338.5084047869</v>
      </c>
    </row>
    <row r="15" spans="1:12">
      <c r="A15">
        <v>2038</v>
      </c>
      <c r="B15" s="1">
        <f>Summary_Removals!$H18</f>
        <v>67152.396502738513</v>
      </c>
      <c r="C15" s="1">
        <f>Summary_Removals!$H17</f>
        <v>71043.468433302914</v>
      </c>
      <c r="D15" s="6">
        <f>Summary_Removals!$H16</f>
        <v>75367.548887754921</v>
      </c>
      <c r="E15" s="6">
        <f>Summary_Removals!$H15</f>
        <v>80334.731962822014</v>
      </c>
      <c r="F15" s="6">
        <f>Summary_Removals!$H14</f>
        <v>86332.13483317825</v>
      </c>
      <c r="G15" s="6">
        <f>Summary_Removals!$H13</f>
        <v>94082.138369954962</v>
      </c>
      <c r="H15" s="6">
        <f>Summary_Removals!$H12</f>
        <v>104943.51551237612</v>
      </c>
      <c r="I15" s="6">
        <f>Summary_Removals!$H11</f>
        <v>121486.32310306156</v>
      </c>
      <c r="J15" s="6">
        <f>Summary_Removals!$H10</f>
        <v>148595.57025444848</v>
      </c>
      <c r="K15" s="6">
        <f>Summary_Removals!$H9</f>
        <v>195610.66434031486</v>
      </c>
      <c r="L15" s="5">
        <f>SUM(B15:K15)</f>
        <v>1044948.4921999525</v>
      </c>
    </row>
    <row r="16" spans="1:12">
      <c r="A16">
        <v>2039</v>
      </c>
      <c r="B16" s="1">
        <f>Summary_Removals!$H19</f>
        <v>63577.945426597624</v>
      </c>
      <c r="C16" s="1">
        <f>Summary_Removals!$H18</f>
        <v>67152.396502738513</v>
      </c>
      <c r="D16" s="6">
        <f>Summary_Removals!$H17</f>
        <v>71043.468433302914</v>
      </c>
      <c r="E16" s="6">
        <f>Summary_Removals!$H16</f>
        <v>75367.548887754921</v>
      </c>
      <c r="F16" s="6">
        <f>Summary_Removals!$H15</f>
        <v>80334.731962822014</v>
      </c>
      <c r="G16" s="6">
        <f>Summary_Removals!$H14</f>
        <v>86332.13483317825</v>
      </c>
      <c r="H16" s="6">
        <f>Summary_Removals!$H13</f>
        <v>94082.138369954962</v>
      </c>
      <c r="I16" s="6">
        <f>Summary_Removals!$H12</f>
        <v>104943.51551237612</v>
      </c>
      <c r="J16" s="6">
        <f>Summary_Removals!$H11</f>
        <v>121486.32310306156</v>
      </c>
      <c r="K16" s="6">
        <f>Summary_Removals!$H10</f>
        <v>148595.57025444848</v>
      </c>
      <c r="L16" s="5">
        <f t="shared" si="0"/>
        <v>912915.77328623529</v>
      </c>
    </row>
    <row r="17" spans="1:12">
      <c r="A17">
        <v>2040</v>
      </c>
      <c r="B17" s="1">
        <f>Summary_Removals!$H20</f>
        <v>60253.508215713257</v>
      </c>
      <c r="C17" s="1">
        <f>Summary_Removals!$H19</f>
        <v>63577.945426597624</v>
      </c>
      <c r="D17" s="6">
        <f>Summary_Removals!$H18</f>
        <v>67152.396502738513</v>
      </c>
      <c r="E17" s="6">
        <f>Summary_Removals!$H17</f>
        <v>71043.468433302914</v>
      </c>
      <c r="F17" s="6">
        <f>Summary_Removals!$H16</f>
        <v>75367.548887754921</v>
      </c>
      <c r="G17" s="6">
        <f>Summary_Removals!$H15</f>
        <v>80334.731962822014</v>
      </c>
      <c r="H17" s="6">
        <f>Summary_Removals!$H14</f>
        <v>86332.13483317825</v>
      </c>
      <c r="I17" s="6">
        <f>Summary_Removals!$H13</f>
        <v>94082.138369954962</v>
      </c>
      <c r="J17" s="6">
        <f>Summary_Removals!$H12</f>
        <v>104943.51551237612</v>
      </c>
      <c r="K17" s="6">
        <f>Summary_Removals!$H11</f>
        <v>121486.32310306156</v>
      </c>
      <c r="L17" s="5">
        <f t="shared" si="0"/>
        <v>824573.71124750015</v>
      </c>
    </row>
    <row r="18" spans="1:12">
      <c r="A18">
        <v>2041</v>
      </c>
      <c r="B18" s="1">
        <f>Summary_Removals!$H21</f>
        <v>57139.074565888819</v>
      </c>
      <c r="C18" s="1">
        <f>Summary_Removals!$H20</f>
        <v>60253.508215713257</v>
      </c>
      <c r="D18" s="6">
        <f>Summary_Removals!$H19</f>
        <v>63577.945426597624</v>
      </c>
      <c r="E18" s="6">
        <f>Summary_Removals!$H18</f>
        <v>67152.396502738513</v>
      </c>
      <c r="F18" s="6">
        <f>Summary_Removals!$H17</f>
        <v>71043.468433302914</v>
      </c>
      <c r="G18" s="6">
        <f>Summary_Removals!$H16</f>
        <v>75367.548887754921</v>
      </c>
      <c r="H18" s="6">
        <f>Summary_Removals!$H15</f>
        <v>80334.731962822014</v>
      </c>
      <c r="I18" s="6">
        <f>Summary_Removals!$H14</f>
        <v>86332.13483317825</v>
      </c>
      <c r="J18" s="6">
        <f>Summary_Removals!$H13</f>
        <v>94082.138369954962</v>
      </c>
      <c r="K18" s="6">
        <f>Summary_Removals!$H12</f>
        <v>104943.51551237612</v>
      </c>
      <c r="L18" s="5">
        <f t="shared" si="0"/>
        <v>760226.46271032747</v>
      </c>
    </row>
    <row r="19" spans="1:12">
      <c r="A19">
        <v>2042</v>
      </c>
      <c r="B19" s="1">
        <f>Summary_Removals!$H22</f>
        <v>54208.979240103537</v>
      </c>
      <c r="C19" s="1">
        <f>Summary_Removals!$H21</f>
        <v>57139.074565888819</v>
      </c>
      <c r="D19" s="6">
        <f>Summary_Removals!$H20</f>
        <v>60253.508215713257</v>
      </c>
      <c r="E19" s="6">
        <f>Summary_Removals!$H19</f>
        <v>63577.945426597624</v>
      </c>
      <c r="F19" s="6">
        <f>Summary_Removals!$H18</f>
        <v>67152.396502738513</v>
      </c>
      <c r="G19" s="6">
        <f>Summary_Removals!$H17</f>
        <v>71043.468433302914</v>
      </c>
      <c r="H19" s="6">
        <f>Summary_Removals!$H16</f>
        <v>75367.548887754921</v>
      </c>
      <c r="I19" s="6">
        <f>Summary_Removals!$H15</f>
        <v>80334.731962822014</v>
      </c>
      <c r="J19" s="6">
        <f>Summary_Removals!$H14</f>
        <v>86332.13483317825</v>
      </c>
      <c r="K19" s="6">
        <f>Summary_Removals!$H13</f>
        <v>94082.138369954962</v>
      </c>
      <c r="L19" s="5">
        <f t="shared" si="0"/>
        <v>709491.92643805488</v>
      </c>
    </row>
    <row r="20" spans="1:12">
      <c r="A20">
        <v>2043</v>
      </c>
      <c r="B20" s="1">
        <f>Summary_Removals!$H23</f>
        <v>51445.416516802092</v>
      </c>
      <c r="C20" s="1">
        <f>Summary_Removals!$H22</f>
        <v>54208.979240103537</v>
      </c>
      <c r="D20" s="6">
        <f>Summary_Removals!$H21</f>
        <v>57139.074565888819</v>
      </c>
      <c r="E20" s="6">
        <f>Summary_Removals!$H20</f>
        <v>60253.508215713257</v>
      </c>
      <c r="F20" s="6">
        <f>Summary_Removals!$H19</f>
        <v>63577.945426597624</v>
      </c>
      <c r="G20" s="6">
        <f>Summary_Removals!$H18</f>
        <v>67152.396502738513</v>
      </c>
      <c r="H20" s="6">
        <f>Summary_Removals!$H17</f>
        <v>71043.468433302914</v>
      </c>
      <c r="I20" s="6">
        <f>Summary_Removals!$H16</f>
        <v>75367.548887754921</v>
      </c>
      <c r="J20" s="6">
        <f>Summary_Removals!$H15</f>
        <v>80334.731962822014</v>
      </c>
      <c r="K20" s="6">
        <f>Summary_Removals!$H14</f>
        <v>86332.13483317825</v>
      </c>
      <c r="L20" s="5">
        <f t="shared" si="0"/>
        <v>666855.20458490192</v>
      </c>
    </row>
    <row r="21" spans="1:12">
      <c r="A21">
        <v>2044</v>
      </c>
      <c r="B21" s="1">
        <f>Summary_Removals!$H24</f>
        <v>48834.997638395005</v>
      </c>
      <c r="C21" s="1">
        <f>Summary_Removals!$H23</f>
        <v>51445.416516802092</v>
      </c>
      <c r="D21" s="6">
        <f>Summary_Removals!$H22</f>
        <v>54208.979240103537</v>
      </c>
      <c r="E21" s="6">
        <f>Summary_Removals!$H21</f>
        <v>57139.074565888819</v>
      </c>
      <c r="F21" s="6">
        <f>Summary_Removals!$H20</f>
        <v>60253.508215713257</v>
      </c>
      <c r="G21" s="6">
        <f>Summary_Removals!$H19</f>
        <v>63577.945426597624</v>
      </c>
      <c r="H21" s="6">
        <f>Summary_Removals!$H18</f>
        <v>67152.396502738513</v>
      </c>
      <c r="I21" s="6">
        <f>Summary_Removals!$H17</f>
        <v>71043.468433302914</v>
      </c>
      <c r="J21" s="6">
        <f>Summary_Removals!$H16</f>
        <v>75367.548887754921</v>
      </c>
      <c r="K21" s="6">
        <f>Summary_Removals!$H15</f>
        <v>80334.731962822014</v>
      </c>
      <c r="L21" s="5">
        <f t="shared" si="0"/>
        <v>629358.06739011873</v>
      </c>
    </row>
    <row r="22" spans="1:12">
      <c r="A22">
        <v>2045</v>
      </c>
      <c r="B22" s="1">
        <f>Summary_Removals!$H25</f>
        <v>46366.915248670673</v>
      </c>
      <c r="C22" s="1">
        <f>Summary_Removals!$H24</f>
        <v>48834.997638395005</v>
      </c>
      <c r="D22" s="6">
        <f>Summary_Removals!$H23</f>
        <v>51445.416516802092</v>
      </c>
      <c r="E22" s="6">
        <f>Summary_Removals!$H22</f>
        <v>54208.979240103537</v>
      </c>
      <c r="F22" s="6">
        <f>Summary_Removals!$H21</f>
        <v>57139.074565888819</v>
      </c>
      <c r="G22" s="6">
        <f>Summary_Removals!$H20</f>
        <v>60253.508215713257</v>
      </c>
      <c r="H22" s="6">
        <f>Summary_Removals!$H19</f>
        <v>63577.945426597624</v>
      </c>
      <c r="I22" s="6">
        <f>Summary_Removals!$H18</f>
        <v>67152.396502738513</v>
      </c>
      <c r="J22" s="6">
        <f>Summary_Removals!$H17</f>
        <v>71043.468433302914</v>
      </c>
      <c r="K22" s="6">
        <f>Summary_Removals!$H16</f>
        <v>75367.548887754921</v>
      </c>
      <c r="L22" s="5">
        <f t="shared" si="0"/>
        <v>595390.25067596731</v>
      </c>
    </row>
    <row r="23" spans="1:12">
      <c r="A23">
        <v>2046</v>
      </c>
      <c r="B23" s="1">
        <f>Summary_Removals!$H26</f>
        <v>44031.957245805876</v>
      </c>
      <c r="C23" s="1">
        <f>Summary_Removals!$H25</f>
        <v>46366.915248670673</v>
      </c>
      <c r="D23" s="6">
        <f>Summary_Removals!$H24</f>
        <v>48834.997638395005</v>
      </c>
      <c r="E23" s="6">
        <f>Summary_Removals!$H23</f>
        <v>51445.416516802092</v>
      </c>
      <c r="F23" s="6">
        <f>Summary_Removals!$H22</f>
        <v>54208.979240103537</v>
      </c>
      <c r="G23" s="6">
        <f>Summary_Removals!$H21</f>
        <v>57139.074565888819</v>
      </c>
      <c r="H23" s="6">
        <f>Summary_Removals!$H20</f>
        <v>60253.508215713257</v>
      </c>
      <c r="I23" s="6">
        <f>Summary_Removals!$H19</f>
        <v>63577.945426597624</v>
      </c>
      <c r="J23" s="6">
        <f>Summary_Removals!$H18</f>
        <v>67152.396502738513</v>
      </c>
      <c r="K23" s="6">
        <f>Summary_Removals!$H17</f>
        <v>71043.468433302914</v>
      </c>
      <c r="L23" s="5">
        <f t="shared" si="0"/>
        <v>564054.65903401829</v>
      </c>
    </row>
    <row r="24" spans="1:12">
      <c r="A24">
        <v>2047</v>
      </c>
      <c r="B24" s="1">
        <f>Summary_Removals!$H27</f>
        <v>41821.970249623686</v>
      </c>
      <c r="C24" s="1">
        <f>Summary_Removals!$H26</f>
        <v>44031.957245805876</v>
      </c>
      <c r="D24" s="6">
        <f>Summary_Removals!$H25</f>
        <v>46366.915248670673</v>
      </c>
      <c r="E24" s="6">
        <f>Summary_Removals!$H24</f>
        <v>48834.997638395005</v>
      </c>
      <c r="F24" s="6">
        <f>Summary_Removals!$H23</f>
        <v>51445.416516802092</v>
      </c>
      <c r="G24" s="6">
        <f>Summary_Removals!$H22</f>
        <v>54208.979240103537</v>
      </c>
      <c r="H24" s="6">
        <f>Summary_Removals!$H21</f>
        <v>57139.074565888819</v>
      </c>
      <c r="I24" s="6">
        <f>Summary_Removals!$H20</f>
        <v>60253.508215713257</v>
      </c>
      <c r="J24" s="6">
        <f>Summary_Removals!$H19</f>
        <v>63577.945426597624</v>
      </c>
      <c r="K24" s="6">
        <f>Summary_Removals!$H18</f>
        <v>67152.396502738513</v>
      </c>
      <c r="L24" s="5">
        <f t="shared" si="0"/>
        <v>534833.1608503391</v>
      </c>
    </row>
    <row r="25" spans="1:12">
      <c r="A25">
        <v>2048</v>
      </c>
      <c r="B25" s="1">
        <f>Summary_Removals!$H28</f>
        <v>39729.561607948839</v>
      </c>
      <c r="C25" s="1">
        <f>Summary_Removals!$H27</f>
        <v>41821.970249623686</v>
      </c>
      <c r="D25" s="6">
        <f>Summary_Removals!$H26</f>
        <v>44031.957245805876</v>
      </c>
      <c r="E25" s="6">
        <f>Summary_Removals!$H25</f>
        <v>46366.915248670673</v>
      </c>
      <c r="F25" s="6">
        <f>Summary_Removals!$H24</f>
        <v>48834.997638395005</v>
      </c>
      <c r="G25" s="6">
        <f>Summary_Removals!$H23</f>
        <v>51445.416516802092</v>
      </c>
      <c r="H25" s="6">
        <f>Summary_Removals!$H22</f>
        <v>54208.979240103537</v>
      </c>
      <c r="I25" s="6">
        <f>Summary_Removals!$H21</f>
        <v>57139.074565888819</v>
      </c>
      <c r="J25" s="6">
        <f>Summary_Removals!$H20</f>
        <v>60253.508215713257</v>
      </c>
      <c r="K25" s="6">
        <f>Summary_Removals!$H19</f>
        <v>63577.945426597624</v>
      </c>
      <c r="L25" s="5">
        <f t="shared" si="0"/>
        <v>507410.32595554943</v>
      </c>
    </row>
    <row r="26" spans="1:12">
      <c r="A26">
        <v>2049</v>
      </c>
      <c r="B26" s="1">
        <f>Summary_Removals!$H29</f>
        <v>37747.928445136684</v>
      </c>
      <c r="C26" s="1">
        <f>Summary_Removals!$H28</f>
        <v>39729.561607948839</v>
      </c>
      <c r="D26" s="6">
        <f>Summary_Removals!$H27</f>
        <v>41821.970249623686</v>
      </c>
      <c r="E26" s="6">
        <f>Summary_Removals!$H26</f>
        <v>44031.957245805876</v>
      </c>
      <c r="F26" s="6">
        <f>Summary_Removals!$H25</f>
        <v>46366.915248670673</v>
      </c>
      <c r="G26" s="6">
        <f>Summary_Removals!$H24</f>
        <v>48834.997638395005</v>
      </c>
      <c r="H26" s="6">
        <f>Summary_Removals!$H23</f>
        <v>51445.416516802092</v>
      </c>
      <c r="I26" s="6">
        <f>Summary_Removals!$H22</f>
        <v>54208.979240103537</v>
      </c>
      <c r="J26" s="6">
        <f>Summary_Removals!$H21</f>
        <v>57139.074565888819</v>
      </c>
      <c r="K26" s="6">
        <f>Summary_Removals!$H20</f>
        <v>60253.508215713257</v>
      </c>
      <c r="L26" s="5">
        <f t="shared" si="0"/>
        <v>481580.30897408846</v>
      </c>
    </row>
    <row r="27" spans="1:12">
      <c r="A27">
        <v>2050</v>
      </c>
      <c r="B27" s="1">
        <f>Summary_Removals!$H30</f>
        <v>35870.754808756719</v>
      </c>
      <c r="C27" s="1">
        <f>Summary_Removals!$H29</f>
        <v>37747.928445136684</v>
      </c>
      <c r="D27" s="6">
        <f>Summary_Removals!$H28</f>
        <v>39729.561607948839</v>
      </c>
      <c r="E27" s="6">
        <f>Summary_Removals!$H27</f>
        <v>41821.970249623686</v>
      </c>
      <c r="F27" s="6">
        <f>Summary_Removals!$H26</f>
        <v>44031.957245805876</v>
      </c>
      <c r="G27" s="6">
        <f>Summary_Removals!$H25</f>
        <v>46366.915248670673</v>
      </c>
      <c r="H27" s="6">
        <f>Summary_Removals!$H24</f>
        <v>48834.997638395005</v>
      </c>
      <c r="I27" s="6">
        <f>Summary_Removals!$H23</f>
        <v>51445.416516802092</v>
      </c>
      <c r="J27" s="6">
        <f>Summary_Removals!$H22</f>
        <v>54208.979240103537</v>
      </c>
      <c r="K27" s="6">
        <f>Summary_Removals!$H21</f>
        <v>57139.074565888819</v>
      </c>
      <c r="L27" s="5">
        <f t="shared" si="0"/>
        <v>457197.55556713196</v>
      </c>
    </row>
    <row r="28" spans="1:12">
      <c r="A28">
        <v>2051</v>
      </c>
      <c r="B28" s="1">
        <f>Summary_Removals!$H31</f>
        <v>34092.145713041056</v>
      </c>
      <c r="C28" s="1">
        <f>Summary_Removals!$H30</f>
        <v>35870.754808756719</v>
      </c>
      <c r="D28" s="6">
        <f>Summary_Removals!$H29</f>
        <v>37747.928445136684</v>
      </c>
      <c r="E28" s="6">
        <f>Summary_Removals!$H28</f>
        <v>39729.561607948839</v>
      </c>
      <c r="F28" s="6">
        <f>Summary_Removals!$H27</f>
        <v>41821.970249623686</v>
      </c>
      <c r="G28" s="6">
        <f>Summary_Removals!$H26</f>
        <v>44031.957245805876</v>
      </c>
      <c r="H28" s="6">
        <f>Summary_Removals!$H25</f>
        <v>46366.915248670673</v>
      </c>
      <c r="I28" s="6">
        <f>Summary_Removals!$H24</f>
        <v>48834.997638395005</v>
      </c>
      <c r="J28" s="6">
        <f>Summary_Removals!$H23</f>
        <v>51445.416516802092</v>
      </c>
      <c r="K28" s="6">
        <f>Summary_Removals!$H22</f>
        <v>54208.979240103537</v>
      </c>
      <c r="L28" s="5">
        <f t="shared" si="0"/>
        <v>434150.62671428418</v>
      </c>
    </row>
    <row r="29" spans="1:12">
      <c r="A29">
        <v>2052</v>
      </c>
      <c r="B29" s="1">
        <f>Summary_Removals!$H32</f>
        <v>32406.58152806999</v>
      </c>
      <c r="C29" s="1">
        <f>Summary_Removals!$H31</f>
        <v>34092.145713041056</v>
      </c>
      <c r="D29" s="6">
        <f>Summary_Removals!$H30</f>
        <v>35870.754808756719</v>
      </c>
      <c r="E29" s="6">
        <f>Summary_Removals!$H29</f>
        <v>37747.928445136684</v>
      </c>
      <c r="F29" s="6">
        <f>Summary_Removals!$H28</f>
        <v>39729.561607948839</v>
      </c>
      <c r="G29" s="6">
        <f>Summary_Removals!$H27</f>
        <v>41821.970249623686</v>
      </c>
      <c r="H29" s="6">
        <f>Summary_Removals!$H26</f>
        <v>44031.957245805876</v>
      </c>
      <c r="I29" s="6">
        <f>Summary_Removals!$H25</f>
        <v>46366.915248670673</v>
      </c>
      <c r="J29" s="6">
        <f>Summary_Removals!$H24</f>
        <v>48834.997638395005</v>
      </c>
      <c r="K29" s="6">
        <f>Summary_Removals!$H23</f>
        <v>51445.416516802092</v>
      </c>
      <c r="L29" s="5">
        <f t="shared" si="0"/>
        <v>412348.22900225065</v>
      </c>
    </row>
    <row r="30" spans="1:12">
      <c r="A30">
        <v>2053</v>
      </c>
      <c r="B30" s="1">
        <f>Summary_Removals!$H33</f>
        <v>30808.883904145074</v>
      </c>
      <c r="C30" s="1">
        <f>Summary_Removals!$H32</f>
        <v>32406.58152806999</v>
      </c>
      <c r="D30" s="6">
        <f>Summary_Removals!$H31</f>
        <v>34092.145713041056</v>
      </c>
      <c r="E30" s="6">
        <f>Summary_Removals!$H30</f>
        <v>35870.754808756719</v>
      </c>
      <c r="F30" s="6">
        <f>Summary_Removals!$H29</f>
        <v>37747.928445136684</v>
      </c>
      <c r="G30" s="6">
        <f>Summary_Removals!$H28</f>
        <v>39729.561607948839</v>
      </c>
      <c r="H30" s="6">
        <f>Summary_Removals!$H27</f>
        <v>41821.970249623686</v>
      </c>
      <c r="I30" s="6">
        <f>Summary_Removals!$H26</f>
        <v>44031.957245805876</v>
      </c>
      <c r="J30" s="6">
        <f>Summary_Removals!$H25</f>
        <v>46366.915248670673</v>
      </c>
      <c r="K30" s="6">
        <f>Summary_Removals!$H24</f>
        <v>48834.997638395005</v>
      </c>
      <c r="L30" s="5">
        <f t="shared" si="0"/>
        <v>391711.69638959365</v>
      </c>
    </row>
    <row r="31" spans="1:12">
      <c r="A31">
        <v>2054</v>
      </c>
      <c r="B31" s="1">
        <f>Summary_Removals!$H34</f>
        <v>29294.188513732159</v>
      </c>
      <c r="C31" s="1">
        <f>Summary_Removals!$H33</f>
        <v>30808.883904145074</v>
      </c>
      <c r="D31" s="6">
        <f>Summary_Removals!$H32</f>
        <v>32406.58152806999</v>
      </c>
      <c r="E31" s="6">
        <f>Summary_Removals!$H31</f>
        <v>34092.145713041056</v>
      </c>
      <c r="F31" s="6">
        <f>Summary_Removals!$H30</f>
        <v>35870.754808756719</v>
      </c>
      <c r="G31" s="6">
        <f>Summary_Removals!$H29</f>
        <v>37747.928445136684</v>
      </c>
      <c r="H31" s="6">
        <f>Summary_Removals!$H28</f>
        <v>39729.561607948839</v>
      </c>
      <c r="I31" s="6">
        <f>Summary_Removals!$H27</f>
        <v>41821.970249623686</v>
      </c>
      <c r="J31" s="6">
        <f>Summary_Removals!$H26</f>
        <v>44031.957245805876</v>
      </c>
      <c r="K31" s="6">
        <f>Summary_Removals!$H25</f>
        <v>46366.915248670673</v>
      </c>
      <c r="L31" s="5">
        <f t="shared" si="0"/>
        <v>372170.88726493082</v>
      </c>
    </row>
    <row r="32" spans="1:12">
      <c r="A32">
        <v>2055</v>
      </c>
      <c r="B32" s="1">
        <f>Summary_Removals!$H35</f>
        <v>27857.922060236546</v>
      </c>
      <c r="C32" s="1">
        <f>Summary_Removals!$H34</f>
        <v>29294.188513732159</v>
      </c>
      <c r="D32" s="6">
        <f>Summary_Removals!$H33</f>
        <v>30808.883904145074</v>
      </c>
      <c r="E32" s="6">
        <f>Summary_Removals!$H32</f>
        <v>32406.58152806999</v>
      </c>
      <c r="F32" s="6">
        <f>Summary_Removals!$H31</f>
        <v>34092.145713041056</v>
      </c>
      <c r="G32" s="6">
        <f>Summary_Removals!$H30</f>
        <v>35870.754808756719</v>
      </c>
      <c r="H32" s="6">
        <f>Summary_Removals!$H29</f>
        <v>37747.928445136684</v>
      </c>
      <c r="I32" s="6">
        <f>Summary_Removals!$H28</f>
        <v>39729.561607948839</v>
      </c>
      <c r="J32" s="6">
        <f>Summary_Removals!$H27</f>
        <v>41821.970249623686</v>
      </c>
      <c r="K32" s="6">
        <f>Summary_Removals!$H26</f>
        <v>44031.957245805876</v>
      </c>
      <c r="L32" s="5">
        <f t="shared" si="0"/>
        <v>353661.89407649665</v>
      </c>
    </row>
    <row r="33" spans="1:12">
      <c r="A33">
        <v>2056</v>
      </c>
      <c r="B33" s="1">
        <f>Summary_Removals!$H36</f>
        <v>26495.782152554246</v>
      </c>
      <c r="C33" s="1">
        <f>Summary_Removals!$H35</f>
        <v>27857.922060236546</v>
      </c>
      <c r="D33" s="6">
        <f>Summary_Removals!$H34</f>
        <v>29294.188513732159</v>
      </c>
      <c r="E33" s="6">
        <f>Summary_Removals!$H33</f>
        <v>30808.883904145074</v>
      </c>
      <c r="F33" s="6">
        <f>Summary_Removals!$H32</f>
        <v>32406.58152806999</v>
      </c>
      <c r="G33" s="6">
        <f>Summary_Removals!$H31</f>
        <v>34092.145713041056</v>
      </c>
      <c r="H33" s="6">
        <f>Summary_Removals!$H30</f>
        <v>35870.754808756719</v>
      </c>
      <c r="I33" s="6">
        <f>Summary_Removals!$H29</f>
        <v>37747.928445136684</v>
      </c>
      <c r="J33" s="6">
        <f>Summary_Removals!$H28</f>
        <v>39729.561607948839</v>
      </c>
      <c r="K33" s="6">
        <f>Summary_Removals!$H27</f>
        <v>41821.970249623686</v>
      </c>
      <c r="L33" s="5">
        <f t="shared" si="0"/>
        <v>336125.71898324502</v>
      </c>
    </row>
    <row r="34" spans="1:12">
      <c r="A34">
        <v>2057</v>
      </c>
      <c r="B34" s="1">
        <f>Summary_Removals!$H37</f>
        <v>25203.719256242061</v>
      </c>
      <c r="C34" s="1">
        <f>Summary_Removals!$H36</f>
        <v>26495.782152554246</v>
      </c>
      <c r="D34" s="6">
        <f>Summary_Removals!$H35</f>
        <v>27857.922060236546</v>
      </c>
      <c r="E34" s="6">
        <f>Summary_Removals!$H34</f>
        <v>29294.188513732159</v>
      </c>
      <c r="F34" s="6">
        <f>Summary_Removals!$H33</f>
        <v>30808.883904145074</v>
      </c>
      <c r="G34" s="6">
        <f>Summary_Removals!$H32</f>
        <v>32406.58152806999</v>
      </c>
      <c r="H34" s="6">
        <f>Summary_Removals!$H31</f>
        <v>34092.145713041056</v>
      </c>
      <c r="I34" s="6">
        <f>Summary_Removals!$H30</f>
        <v>35870.754808756719</v>
      </c>
      <c r="J34" s="6">
        <f>Summary_Removals!$H29</f>
        <v>37747.928445136684</v>
      </c>
      <c r="K34" s="6">
        <f>Summary_Removals!$H28</f>
        <v>39729.561607948839</v>
      </c>
      <c r="L34" s="5">
        <f t="shared" si="0"/>
        <v>319507.46798986342</v>
      </c>
    </row>
    <row r="35" spans="1:12">
      <c r="A35">
        <v>2058</v>
      </c>
      <c r="B35" s="1">
        <f>Summary_Removals!$H38</f>
        <v>23977.920259800765</v>
      </c>
      <c r="C35" s="1">
        <f>Summary_Removals!$H37</f>
        <v>25203.719256242061</v>
      </c>
      <c r="D35" s="6">
        <f>Summary_Removals!$H36</f>
        <v>26495.782152554246</v>
      </c>
      <c r="E35" s="6">
        <f>Summary_Removals!$H35</f>
        <v>27857.922060236546</v>
      </c>
      <c r="F35" s="6">
        <f>Summary_Removals!$H34</f>
        <v>29294.188513732159</v>
      </c>
      <c r="G35" s="6">
        <f>Summary_Removals!$H33</f>
        <v>30808.883904145074</v>
      </c>
      <c r="H35" s="6">
        <f>Summary_Removals!$H32</f>
        <v>32406.58152806999</v>
      </c>
      <c r="I35" s="6">
        <f>Summary_Removals!$H31</f>
        <v>34092.145713041056</v>
      </c>
      <c r="J35" s="6">
        <f>Summary_Removals!$H30</f>
        <v>35870.754808756719</v>
      </c>
      <c r="K35" s="6">
        <f>Summary_Removals!$H29</f>
        <v>37747.928445136684</v>
      </c>
      <c r="L35" s="5">
        <f t="shared" si="0"/>
        <v>303755.82664171531</v>
      </c>
    </row>
    <row r="36" spans="1:12">
      <c r="A36">
        <v>2059</v>
      </c>
      <c r="B36" s="1">
        <f>Summary_Removals!$H39</f>
        <v>22814.793371703556</v>
      </c>
      <c r="C36" s="1">
        <f>Summary_Removals!$H38</f>
        <v>23977.920259800765</v>
      </c>
      <c r="D36" s="6">
        <f>Summary_Removals!$H37</f>
        <v>25203.719256242061</v>
      </c>
      <c r="E36" s="6">
        <f>Summary_Removals!$H36</f>
        <v>26495.782152554246</v>
      </c>
      <c r="F36" s="6">
        <f>Summary_Removals!$H35</f>
        <v>27857.922060236546</v>
      </c>
      <c r="G36" s="6">
        <f>Summary_Removals!$H34</f>
        <v>29294.188513732159</v>
      </c>
      <c r="H36" s="6">
        <f>Summary_Removals!$H33</f>
        <v>30808.883904145074</v>
      </c>
      <c r="I36" s="6">
        <f>Summary_Removals!$H32</f>
        <v>32406.58152806999</v>
      </c>
      <c r="J36" s="6">
        <f>Summary_Removals!$H31</f>
        <v>34092.145713041056</v>
      </c>
      <c r="K36" s="6">
        <f>Summary_Removals!$H30</f>
        <v>35870.754808756719</v>
      </c>
      <c r="L36" s="5">
        <f t="shared" si="0"/>
        <v>288822.69156828214</v>
      </c>
    </row>
    <row r="37" spans="1:12">
      <c r="A37">
        <v>2060</v>
      </c>
      <c r="B37" s="1">
        <f>Summary_Removals!$H40</f>
        <v>21710.954160741589</v>
      </c>
      <c r="C37" s="1">
        <f>Summary_Removals!$H39</f>
        <v>22814.793371703556</v>
      </c>
      <c r="D37" s="6">
        <f>Summary_Removals!$H38</f>
        <v>23977.920259800765</v>
      </c>
      <c r="E37" s="6">
        <f>Summary_Removals!$H37</f>
        <v>25203.719256242061</v>
      </c>
      <c r="F37" s="6">
        <f>Summary_Removals!$H36</f>
        <v>26495.782152554246</v>
      </c>
      <c r="G37" s="6">
        <f>Summary_Removals!$H35</f>
        <v>27857.922060236546</v>
      </c>
      <c r="H37" s="6">
        <f>Summary_Removals!$H34</f>
        <v>29294.188513732159</v>
      </c>
      <c r="I37" s="6">
        <f>Summary_Removals!$H33</f>
        <v>30808.883904145074</v>
      </c>
      <c r="J37" s="6">
        <f>Summary_Removals!$H32</f>
        <v>32406.58152806999</v>
      </c>
      <c r="K37" s="6">
        <f>Summary_Removals!$H31</f>
        <v>34092.145713041056</v>
      </c>
      <c r="L37" s="5">
        <f t="shared" si="0"/>
        <v>274662.89092026703</v>
      </c>
    </row>
    <row r="38" spans="1:12">
      <c r="A38">
        <v>2061</v>
      </c>
      <c r="B38" s="1">
        <f>Summary_Removals!$H41</f>
        <v>20663.212606998179</v>
      </c>
      <c r="C38" s="1">
        <f>Summary_Removals!$H40</f>
        <v>21710.954160741589</v>
      </c>
      <c r="D38" s="6">
        <f>Summary_Removals!$H39</f>
        <v>22814.793371703556</v>
      </c>
      <c r="E38" s="6">
        <f>Summary_Removals!$H38</f>
        <v>23977.920259800765</v>
      </c>
      <c r="F38" s="6">
        <f>Summary_Removals!$H37</f>
        <v>25203.719256242061</v>
      </c>
      <c r="G38" s="6">
        <f>Summary_Removals!$H36</f>
        <v>26495.782152554246</v>
      </c>
      <c r="H38" s="6">
        <f>Summary_Removals!$H35</f>
        <v>27857.922060236546</v>
      </c>
      <c r="I38" s="6">
        <f>Summary_Removals!$H34</f>
        <v>29294.188513732159</v>
      </c>
      <c r="J38" s="6">
        <f>Summary_Removals!$H33</f>
        <v>30808.883904145074</v>
      </c>
      <c r="K38" s="6">
        <f>Summary_Removals!$H32</f>
        <v>32406.58152806999</v>
      </c>
      <c r="L38" s="5">
        <f t="shared" si="0"/>
        <v>261233.95781422418</v>
      </c>
    </row>
    <row r="39" spans="1:12">
      <c r="A39">
        <v>2062</v>
      </c>
      <c r="B39" s="1">
        <f>Summary_Removals!$H42</f>
        <v>19668.561062386794</v>
      </c>
      <c r="C39" s="1">
        <f>Summary_Removals!$H41</f>
        <v>20663.212606998179</v>
      </c>
      <c r="D39" s="6">
        <f>Summary_Removals!$H40</f>
        <v>21710.954160741589</v>
      </c>
      <c r="E39" s="6">
        <f>Summary_Removals!$H39</f>
        <v>22814.793371703556</v>
      </c>
      <c r="F39" s="6">
        <f>Summary_Removals!$H38</f>
        <v>23977.920259800765</v>
      </c>
      <c r="G39" s="6">
        <f>Summary_Removals!$H37</f>
        <v>25203.719256242061</v>
      </c>
      <c r="H39" s="6">
        <f>Summary_Removals!$H36</f>
        <v>26495.782152554246</v>
      </c>
      <c r="I39" s="6">
        <f>Summary_Removals!$H35</f>
        <v>27857.922060236546</v>
      </c>
      <c r="J39" s="6">
        <f>Summary_Removals!$H34</f>
        <v>29294.188513732159</v>
      </c>
      <c r="K39" s="6">
        <f>Summary_Removals!$H33</f>
        <v>30808.883904145074</v>
      </c>
      <c r="L39" s="5">
        <f t="shared" si="0"/>
        <v>248495.93734854099</v>
      </c>
    </row>
    <row r="40" spans="1:12">
      <c r="A40">
        <v>2063</v>
      </c>
      <c r="B40" s="1">
        <f>Summary_Removals!$H43</f>
        <v>18724.163039163599</v>
      </c>
      <c r="C40" s="1">
        <f>Summary_Removals!$H42</f>
        <v>19668.561062386794</v>
      </c>
      <c r="D40" s="6">
        <f>Summary_Removals!$H41</f>
        <v>20663.212606998179</v>
      </c>
      <c r="E40" s="6">
        <f>Summary_Removals!$H40</f>
        <v>21710.954160741589</v>
      </c>
      <c r="F40" s="6">
        <f>Summary_Removals!$H39</f>
        <v>22814.793371703556</v>
      </c>
      <c r="G40" s="6">
        <f>Summary_Removals!$H38</f>
        <v>23977.920259800765</v>
      </c>
      <c r="H40" s="6">
        <f>Summary_Removals!$H37</f>
        <v>25203.719256242061</v>
      </c>
      <c r="I40" s="6">
        <f>Summary_Removals!$H36</f>
        <v>26495.782152554246</v>
      </c>
      <c r="J40" s="6">
        <f>Summary_Removals!$H35</f>
        <v>27857.922060236546</v>
      </c>
      <c r="K40" s="6">
        <f>Summary_Removals!$H34</f>
        <v>29294.188513732159</v>
      </c>
      <c r="L40" s="5">
        <f t="shared" si="0"/>
        <v>236411.21648355952</v>
      </c>
    </row>
    <row r="41" spans="1:12">
      <c r="A41">
        <v>2064</v>
      </c>
      <c r="B41" s="1">
        <f>Summary_Removals!$H44</f>
        <v>17827.342757527626</v>
      </c>
      <c r="C41" s="1">
        <f>Summary_Removals!$H43</f>
        <v>18724.163039163599</v>
      </c>
      <c r="D41" s="6">
        <f>Summary_Removals!$H42</f>
        <v>19668.561062386794</v>
      </c>
      <c r="E41" s="6">
        <f>Summary_Removals!$H41</f>
        <v>20663.212606998179</v>
      </c>
      <c r="F41" s="6">
        <f>Summary_Removals!$H40</f>
        <v>21710.954160741589</v>
      </c>
      <c r="G41" s="6">
        <f>Summary_Removals!$H39</f>
        <v>22814.793371703556</v>
      </c>
      <c r="H41" s="6">
        <f>Summary_Removals!$H38</f>
        <v>23977.920259800765</v>
      </c>
      <c r="I41" s="6">
        <f>Summary_Removals!$H37</f>
        <v>25203.719256242061</v>
      </c>
      <c r="J41" s="6">
        <f>Summary_Removals!$H36</f>
        <v>26495.782152554246</v>
      </c>
      <c r="K41" s="6">
        <f>Summary_Removals!$H35</f>
        <v>27857.922060236546</v>
      </c>
      <c r="L41" s="5">
        <f t="shared" si="0"/>
        <v>224944.37072735498</v>
      </c>
    </row>
    <row r="42" spans="1:12">
      <c r="A42">
        <v>2065</v>
      </c>
      <c r="B42" s="1">
        <f>Summary_Removals!$H45</f>
        <v>16975.57539212154</v>
      </c>
      <c r="C42" s="1">
        <f>Summary_Removals!$H44</f>
        <v>17827.342757527626</v>
      </c>
      <c r="D42" s="6">
        <f>Summary_Removals!$H43</f>
        <v>18724.163039163599</v>
      </c>
      <c r="E42" s="6">
        <f>Summary_Removals!$H42</f>
        <v>19668.561062386794</v>
      </c>
      <c r="F42" s="6">
        <f>Summary_Removals!$H41</f>
        <v>20663.212606998179</v>
      </c>
      <c r="G42" s="6">
        <f>Summary_Removals!$H40</f>
        <v>21710.954160741589</v>
      </c>
      <c r="H42" s="6">
        <f>Summary_Removals!$H39</f>
        <v>22814.793371703556</v>
      </c>
      <c r="I42" s="6">
        <f>Summary_Removals!$H38</f>
        <v>23977.920259800765</v>
      </c>
      <c r="J42" s="6">
        <f>Summary_Removals!$H37</f>
        <v>25203.719256242061</v>
      </c>
      <c r="K42" s="6">
        <f>Summary_Removals!$H36</f>
        <v>26495.782152554246</v>
      </c>
      <c r="L42" s="5">
        <f t="shared" si="0"/>
        <v>214062.02405923998</v>
      </c>
    </row>
    <row r="43" spans="1:12">
      <c r="B43" s="1">
        <f>Summary_Removals!$H46</f>
        <v>0</v>
      </c>
      <c r="C43" s="6"/>
      <c r="D43" s="6"/>
      <c r="E43" s="6"/>
      <c r="F43" s="6"/>
      <c r="G43" s="6"/>
      <c r="H43" s="6"/>
      <c r="I43" s="6"/>
      <c r="J43" s="6"/>
      <c r="K43" s="6"/>
    </row>
    <row r="44" spans="1:12">
      <c r="D44" s="6"/>
      <c r="E44" s="6"/>
      <c r="F44" s="6"/>
      <c r="G44" s="6"/>
      <c r="H44" s="6"/>
      <c r="I44" s="6"/>
      <c r="J44" s="6"/>
      <c r="K44" t="s">
        <v>28</v>
      </c>
      <c r="L44" s="1">
        <f>SUM(B3:K42)</f>
        <v>34471375.452411287</v>
      </c>
    </row>
    <row r="45" spans="1:12">
      <c r="E45" s="6"/>
      <c r="F45" s="6"/>
      <c r="G45" s="6"/>
      <c r="H45" s="6"/>
      <c r="I45" s="6"/>
      <c r="J45" s="6"/>
      <c r="K45" t="s">
        <v>29</v>
      </c>
      <c r="L45" s="1">
        <f>L44/40</f>
        <v>861784.38631028216</v>
      </c>
    </row>
    <row r="46" spans="1:12">
      <c r="F46" s="6"/>
      <c r="G46" s="6"/>
      <c r="H46" s="6"/>
      <c r="I46" s="6"/>
      <c r="J46" s="6"/>
      <c r="K46" s="6"/>
    </row>
    <row r="47" spans="1:12">
      <c r="G47" s="6"/>
      <c r="H47" s="6"/>
      <c r="I47" s="6"/>
      <c r="J47" s="6"/>
      <c r="K47" s="6" t="s">
        <v>26</v>
      </c>
      <c r="L47" s="5">
        <f>SUM(L3:L12)</f>
        <v>18226221.779386558</v>
      </c>
    </row>
    <row r="48" spans="1:12">
      <c r="H48" s="6"/>
      <c r="I48" s="6"/>
      <c r="J48" s="6"/>
      <c r="K48" s="6" t="s">
        <v>27</v>
      </c>
      <c r="L48" s="5">
        <f>L47/10</f>
        <v>1822622.1779386557</v>
      </c>
    </row>
    <row r="49" spans="9:11">
      <c r="I49" s="6"/>
      <c r="J49" s="6"/>
      <c r="K49" s="6"/>
    </row>
    <row r="50" spans="9:11">
      <c r="J50" s="6"/>
      <c r="K50" s="6"/>
    </row>
    <row r="51" spans="9:11">
      <c r="K51" s="6"/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L42"/>
  <sheetViews>
    <sheetView topLeftCell="B1" zoomScale="116" workbookViewId="0">
      <selection activeCell="L5" sqref="L5:L6"/>
    </sheetView>
  </sheetViews>
  <sheetFormatPr baseColWidth="10" defaultRowHeight="16"/>
  <cols>
    <col min="1" max="6" width="26.33203125"/>
    <col min="7" max="7" width="11" style="1" bestFit="1" customWidth="1"/>
    <col min="8" max="8" width="11.83203125" style="1" bestFit="1" customWidth="1"/>
    <col min="9" max="16384" width="10.83203125" style="1"/>
  </cols>
  <sheetData>
    <row r="1" spans="1:12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H1" s="1" t="s">
        <v>36</v>
      </c>
    </row>
    <row r="2" spans="1:12">
      <c r="A2">
        <v>417.7886441319497</v>
      </c>
      <c r="B2">
        <v>417.78331306409262</v>
      </c>
      <c r="D2">
        <v>417.7886441319497</v>
      </c>
      <c r="E2">
        <v>417.78331306409262</v>
      </c>
      <c r="L2" s="1" t="s">
        <v>2</v>
      </c>
    </row>
    <row r="3" spans="1:12">
      <c r="A3">
        <v>375.52928171779439</v>
      </c>
      <c r="B3">
        <v>417.78330963833508</v>
      </c>
      <c r="C3">
        <v>42.259358988397729</v>
      </c>
      <c r="D3">
        <v>373.01782597138958</v>
      </c>
      <c r="E3">
        <v>417.78330963833508</v>
      </c>
      <c r="F3">
        <v>44.770814734802542</v>
      </c>
      <c r="H3" s="1">
        <f>(C3*0.4+F3*0.55)*$L$3</f>
        <v>182181.98348570865</v>
      </c>
      <c r="L3" s="3">
        <v>4387</v>
      </c>
    </row>
    <row r="4" spans="1:12">
      <c r="A4">
        <v>351.58475644875688</v>
      </c>
      <c r="B4">
        <v>417.78330638698299</v>
      </c>
      <c r="C4">
        <v>23.944522017685369</v>
      </c>
      <c r="D4">
        <v>347.64545216760678</v>
      </c>
      <c r="E4">
        <v>417.78330638698299</v>
      </c>
      <c r="F4">
        <v>25.372370552430692</v>
      </c>
      <c r="H4" s="1">
        <f t="shared" ref="H4:H42" si="0">(C4*0.4+F4*0.55)*$L$3</f>
        <v>103237.57152406669</v>
      </c>
    </row>
    <row r="5" spans="1:12">
      <c r="A5">
        <v>335.23735450271181</v>
      </c>
      <c r="B5">
        <v>417.7833033011575</v>
      </c>
      <c r="C5">
        <v>16.347398860219648</v>
      </c>
      <c r="D5">
        <v>330.31579092000561</v>
      </c>
      <c r="E5">
        <v>417.7833033011575</v>
      </c>
      <c r="F5">
        <v>17.329658161775711</v>
      </c>
      <c r="H5" s="1">
        <f t="shared" si="0"/>
        <v>70500.281215553958</v>
      </c>
    </row>
    <row r="6" spans="1:12">
      <c r="A6">
        <v>323.00372339609021</v>
      </c>
      <c r="B6">
        <v>417.78330037243182</v>
      </c>
      <c r="C6">
        <v>12.233628177895961</v>
      </c>
      <c r="D6">
        <v>317.33823339100371</v>
      </c>
      <c r="E6">
        <v>417.78330037243182</v>
      </c>
      <c r="F6">
        <v>12.977554600276219</v>
      </c>
      <c r="H6" s="1">
        <f t="shared" si="0"/>
        <v>52780.463343848314</v>
      </c>
      <c r="L6" s="11"/>
    </row>
    <row r="7" spans="1:12">
      <c r="A7">
        <v>313.07684838079808</v>
      </c>
      <c r="B7">
        <v>417.78329759280763</v>
      </c>
      <c r="C7">
        <v>9.9268722356679007</v>
      </c>
      <c r="D7">
        <v>306.79858203980842</v>
      </c>
      <c r="E7">
        <v>417.78329759280763</v>
      </c>
      <c r="F7">
        <v>10.53964857157111</v>
      </c>
      <c r="H7" s="1">
        <f t="shared" si="0"/>
        <v>42850.266455065386</v>
      </c>
    </row>
    <row r="8" spans="1:12">
      <c r="A8">
        <v>304.5073768651659</v>
      </c>
      <c r="B8">
        <v>417.78329495469421</v>
      </c>
      <c r="C8">
        <v>8.5694688775188013</v>
      </c>
      <c r="D8">
        <v>297.69145283346131</v>
      </c>
      <c r="E8">
        <v>417.78329495469421</v>
      </c>
      <c r="F8">
        <v>9.1071265682337472</v>
      </c>
      <c r="H8" s="1">
        <f t="shared" si="0"/>
        <v>37011.834326432792</v>
      </c>
    </row>
    <row r="9" spans="1:12">
      <c r="A9">
        <v>296.79105958104702</v>
      </c>
      <c r="B9">
        <v>417.78329245088747</v>
      </c>
      <c r="C9">
        <v>7.7163147803120893</v>
      </c>
      <c r="D9">
        <v>289.48306915328158</v>
      </c>
      <c r="E9">
        <v>417.78329245088747</v>
      </c>
      <c r="F9">
        <v>8.2083811763729617</v>
      </c>
      <c r="H9" s="1">
        <f t="shared" si="0"/>
        <v>33346.181697903157</v>
      </c>
    </row>
    <row r="10" spans="1:12">
      <c r="A10">
        <v>289.65662497360393</v>
      </c>
      <c r="B10">
        <v>417.7832900745496</v>
      </c>
      <c r="C10">
        <v>7.1344322311052837</v>
      </c>
      <c r="D10">
        <v>281.8864749442435</v>
      </c>
      <c r="E10">
        <v>417.7832900745496</v>
      </c>
      <c r="F10">
        <v>7.5965918327002129</v>
      </c>
      <c r="H10" s="1">
        <f t="shared" si="0"/>
        <v>30848.938282674262</v>
      </c>
    </row>
    <row r="11" spans="1:12">
      <c r="A11">
        <v>282.95542074095732</v>
      </c>
      <c r="B11">
        <v>417.78328781919129</v>
      </c>
      <c r="C11">
        <v>6.7012019772882967</v>
      </c>
      <c r="D11">
        <v>274.74459785172371</v>
      </c>
      <c r="E11">
        <v>417.78328781919129</v>
      </c>
      <c r="F11">
        <v>7.1418748371614713</v>
      </c>
      <c r="H11" s="1">
        <f t="shared" si="0"/>
        <v>28991.54193059056</v>
      </c>
    </row>
    <row r="12" spans="1:12">
      <c r="A12">
        <v>276.60361034283108</v>
      </c>
      <c r="B12">
        <v>417.7832856786535</v>
      </c>
      <c r="C12">
        <v>6.3518082575882699</v>
      </c>
      <c r="D12">
        <v>267.9690054631053</v>
      </c>
      <c r="E12">
        <v>417.7832856786535</v>
      </c>
      <c r="F12">
        <v>6.775590248080543</v>
      </c>
      <c r="H12" s="1">
        <f t="shared" si="0"/>
        <v>27494.636060497036</v>
      </c>
    </row>
    <row r="13" spans="1:12">
      <c r="A13">
        <v>270.55177733450398</v>
      </c>
      <c r="B13">
        <v>417.78328364709051</v>
      </c>
      <c r="C13">
        <v>6.0518309767641369</v>
      </c>
      <c r="D13">
        <v>261.50770379157342</v>
      </c>
      <c r="E13">
        <v>417.78328364709051</v>
      </c>
      <c r="F13">
        <v>6.4612996399688516</v>
      </c>
      <c r="H13" s="1">
        <f t="shared" si="0"/>
        <v>26209.899834324555</v>
      </c>
    </row>
    <row r="14" spans="1:12">
      <c r="A14">
        <v>264.76890278919512</v>
      </c>
      <c r="B14">
        <v>417.78328171895453</v>
      </c>
      <c r="C14">
        <v>5.7828726171729841</v>
      </c>
      <c r="D14">
        <v>255.3281647023023</v>
      </c>
      <c r="E14">
        <v>417.78328171895453</v>
      </c>
      <c r="F14">
        <v>6.1795371611352481</v>
      </c>
      <c r="H14" s="1">
        <f t="shared" si="0"/>
        <v>25058.081107860336</v>
      </c>
    </row>
    <row r="15" spans="1:12">
      <c r="A15">
        <v>259.23390397040077</v>
      </c>
      <c r="B15">
        <v>417.78327988898002</v>
      </c>
      <c r="C15">
        <v>5.5349969888197474</v>
      </c>
      <c r="D15">
        <v>249.4083641265471</v>
      </c>
      <c r="E15">
        <v>417.78327988898002</v>
      </c>
      <c r="F15">
        <v>5.9197987457806924</v>
      </c>
      <c r="H15" s="1">
        <f t="shared" si="0"/>
        <v>23996.399119737838</v>
      </c>
    </row>
    <row r="16" spans="1:12">
      <c r="A16">
        <v>253.93115799692259</v>
      </c>
      <c r="B16">
        <v>417.78327815216949</v>
      </c>
      <c r="C16">
        <v>5.3027442366678006</v>
      </c>
      <c r="D16">
        <v>243.73204180408311</v>
      </c>
      <c r="E16">
        <v>417.78327815216949</v>
      </c>
      <c r="F16">
        <v>5.6763205856535039</v>
      </c>
      <c r="H16" s="1">
        <f t="shared" si="0"/>
        <v>23001.365711598715</v>
      </c>
    </row>
    <row r="17" spans="1:8">
      <c r="A17">
        <v>248.84812806925191</v>
      </c>
      <c r="B17">
        <v>417.78327650378043</v>
      </c>
      <c r="C17">
        <v>5.0830282792815824</v>
      </c>
      <c r="D17">
        <v>238.28618817685799</v>
      </c>
      <c r="E17">
        <v>417.78327650378043</v>
      </c>
      <c r="F17">
        <v>5.4458519788359938</v>
      </c>
      <c r="H17" s="1">
        <f t="shared" si="0"/>
        <v>22059.72197161775</v>
      </c>
    </row>
    <row r="18" spans="1:8">
      <c r="A18">
        <v>243.9740999457816</v>
      </c>
      <c r="B18">
        <v>417.78327493931079</v>
      </c>
      <c r="C18">
        <v>4.8740265590007299</v>
      </c>
      <c r="D18">
        <v>233.0597072023931</v>
      </c>
      <c r="E18">
        <v>417.78327493931079</v>
      </c>
      <c r="F18">
        <v>5.2264794099953056</v>
      </c>
      <c r="H18" s="1">
        <f t="shared" si="0"/>
        <v>21163.652650141656</v>
      </c>
    </row>
    <row r="19" spans="1:8">
      <c r="A19">
        <v>239.2995051293949</v>
      </c>
      <c r="B19">
        <v>417.78327345448838</v>
      </c>
      <c r="C19">
        <v>4.6745933315641919</v>
      </c>
      <c r="D19">
        <v>228.04270050993281</v>
      </c>
      <c r="E19">
        <v>417.78327345448838</v>
      </c>
      <c r="F19">
        <v>5.0170052076378582</v>
      </c>
      <c r="H19" s="1">
        <f t="shared" si="0"/>
        <v>20308.257393477852</v>
      </c>
    </row>
    <row r="20" spans="1:8">
      <c r="A20">
        <v>234.81555439894299</v>
      </c>
      <c r="B20">
        <v>417.78327204525851</v>
      </c>
      <c r="C20">
        <v>4.4839493212220134</v>
      </c>
      <c r="D20">
        <v>223.22608017534131</v>
      </c>
      <c r="E20">
        <v>417.78327204525851</v>
      </c>
      <c r="F20">
        <v>4.8166189253616407</v>
      </c>
      <c r="H20" s="1">
        <f t="shared" si="0"/>
        <v>19490.21324293923</v>
      </c>
    </row>
    <row r="21" spans="1:8">
      <c r="A21">
        <v>230.51403574118501</v>
      </c>
      <c r="B21">
        <v>417.78327070777249</v>
      </c>
      <c r="C21">
        <v>4.3015173202720396</v>
      </c>
      <c r="D21">
        <v>218.60135554530831</v>
      </c>
      <c r="E21">
        <v>417.78327070777249</v>
      </c>
      <c r="F21">
        <v>4.6247232925469914</v>
      </c>
      <c r="H21" s="1">
        <f t="shared" si="0"/>
        <v>18707.066190035388</v>
      </c>
    </row>
    <row r="22" spans="1:8">
      <c r="A22">
        <v>226.38719958424261</v>
      </c>
      <c r="B22">
        <v>417.78326943837811</v>
      </c>
      <c r="C22">
        <v>4.1268348875479566</v>
      </c>
      <c r="D22">
        <v>214.16051246299679</v>
      </c>
      <c r="E22">
        <v>417.78326943837811</v>
      </c>
      <c r="F22">
        <v>4.4408418129170384</v>
      </c>
      <c r="H22" s="1">
        <f t="shared" si="0"/>
        <v>17956.855028966031</v>
      </c>
    </row>
    <row r="23" spans="1:8">
      <c r="A23">
        <v>222.42769058509299</v>
      </c>
      <c r="B23">
        <v>417.78326823360862</v>
      </c>
      <c r="C23">
        <v>3.9595077943800279</v>
      </c>
      <c r="D23">
        <v>209.8959417477619</v>
      </c>
      <c r="E23">
        <v>417.78326823360862</v>
      </c>
      <c r="F23">
        <v>4.2645695104654209</v>
      </c>
      <c r="H23" s="1">
        <f t="shared" si="0"/>
        <v>17237.910820904566</v>
      </c>
    </row>
    <row r="24" spans="1:8">
      <c r="A24">
        <v>218.6285044217463</v>
      </c>
      <c r="B24">
        <v>417.78326709017392</v>
      </c>
      <c r="C24">
        <v>3.7991850199120849</v>
      </c>
      <c r="D24">
        <v>205.80039411295979</v>
      </c>
      <c r="E24">
        <v>417.78326709017392</v>
      </c>
      <c r="F24">
        <v>4.0955464913674584</v>
      </c>
      <c r="H24" s="1">
        <f t="shared" si="0"/>
        <v>16548.749224637701</v>
      </c>
    </row>
    <row r="25" spans="1:8">
      <c r="A25">
        <v>214.98295818173301</v>
      </c>
      <c r="B25">
        <v>417.78326600495149</v>
      </c>
      <c r="C25">
        <v>3.645545154790971</v>
      </c>
      <c r="D25">
        <v>201.86694944458341</v>
      </c>
      <c r="E25">
        <v>417.78326600495149</v>
      </c>
      <c r="F25">
        <v>3.933443583153962</v>
      </c>
      <c r="H25" s="1">
        <f t="shared" si="0"/>
        <v>15888.011987240236</v>
      </c>
    </row>
    <row r="26" spans="1:8">
      <c r="A26">
        <v>211.4846682965094</v>
      </c>
      <c r="B26">
        <v>417.78326497497818</v>
      </c>
      <c r="C26">
        <v>3.4982888552502209</v>
      </c>
      <c r="D26">
        <v>198.08899403677711</v>
      </c>
      <c r="E26">
        <v>417.78326497497818</v>
      </c>
      <c r="F26">
        <v>3.7779543778329132</v>
      </c>
      <c r="H26" s="1">
        <f t="shared" si="0"/>
        <v>15254.434503747234</v>
      </c>
    </row>
    <row r="27" spans="1:8">
      <c r="A27">
        <v>208.12753280319691</v>
      </c>
      <c r="B27">
        <v>417.7832639974406</v>
      </c>
      <c r="C27">
        <v>3.3571345157749568</v>
      </c>
      <c r="D27">
        <v>194.46020237848839</v>
      </c>
      <c r="E27">
        <v>417.7832639974406</v>
      </c>
      <c r="F27">
        <v>3.6287906807512091</v>
      </c>
      <c r="H27" s="1">
        <f t="shared" si="0"/>
        <v>14646.827242332451</v>
      </c>
    </row>
    <row r="28" spans="1:8">
      <c r="A28">
        <v>204.90571621250211</v>
      </c>
      <c r="B28">
        <v>417.78326306966972</v>
      </c>
      <c r="C28">
        <v>3.221815662923897</v>
      </c>
      <c r="D28">
        <v>190.97452167078549</v>
      </c>
      <c r="E28">
        <v>417.78326306966972</v>
      </c>
      <c r="F28">
        <v>3.485679779931957</v>
      </c>
      <c r="H28" s="1">
        <f t="shared" si="0"/>
        <v>14064.064582307677</v>
      </c>
    </row>
    <row r="29" spans="1:8">
      <c r="A29">
        <v>201.8136360541572</v>
      </c>
      <c r="B29">
        <v>417.78326218913139</v>
      </c>
      <c r="C29">
        <v>3.092079277806612</v>
      </c>
      <c r="D29">
        <v>187.62615809324819</v>
      </c>
      <c r="E29">
        <v>417.78326218913139</v>
      </c>
      <c r="F29">
        <v>3.3483626969990472</v>
      </c>
      <c r="H29" s="1">
        <f t="shared" si="0"/>
        <v>13505.077650149196</v>
      </c>
    </row>
    <row r="30" spans="1:8">
      <c r="A30">
        <v>198.84595059122549</v>
      </c>
      <c r="B30">
        <v>417.78326135342172</v>
      </c>
      <c r="C30">
        <v>2.9676846272219439</v>
      </c>
      <c r="D30">
        <v>184.40956428237021</v>
      </c>
      <c r="E30">
        <v>417.78326135342172</v>
      </c>
      <c r="F30">
        <v>3.21659297516827</v>
      </c>
      <c r="H30" s="1">
        <f t="shared" si="0"/>
        <v>12968.849343983828</v>
      </c>
    </row>
    <row r="31" spans="1:8">
      <c r="A31">
        <v>195.99754741774871</v>
      </c>
      <c r="B31">
        <v>417.78326056025782</v>
      </c>
      <c r="C31">
        <v>2.8484023803129168</v>
      </c>
      <c r="D31">
        <v>181.319427721024</v>
      </c>
      <c r="E31">
        <v>417.78326056025782</v>
      </c>
      <c r="F31">
        <v>3.090135768182309</v>
      </c>
      <c r="H31" s="1">
        <f t="shared" si="0"/>
        <v>12454.410585231792</v>
      </c>
    </row>
    <row r="32" spans="1:8">
      <c r="A32">
        <v>193.2635327732502</v>
      </c>
      <c r="B32">
        <v>417.78325980747371</v>
      </c>
      <c r="C32">
        <v>2.7340138917143708</v>
      </c>
      <c r="D32">
        <v>178.35065986396339</v>
      </c>
      <c r="E32">
        <v>417.78325980747371</v>
      </c>
      <c r="F32">
        <v>2.968767104276429</v>
      </c>
      <c r="H32" s="1">
        <f t="shared" si="0"/>
        <v>11960.83728473376</v>
      </c>
    </row>
    <row r="33" spans="1:8">
      <c r="A33">
        <v>190.63922147155759</v>
      </c>
      <c r="B33">
        <v>417.78325909301412</v>
      </c>
      <c r="C33">
        <v>2.6243105872329409</v>
      </c>
      <c r="D33">
        <v>175.4983858919592</v>
      </c>
      <c r="E33">
        <v>417.78325909301412</v>
      </c>
      <c r="F33">
        <v>2.8522732575446379</v>
      </c>
      <c r="H33" s="1">
        <f t="shared" si="0"/>
        <v>11487.247747942945</v>
      </c>
    </row>
    <row r="34" spans="1:8">
      <c r="A34">
        <v>188.12012737616959</v>
      </c>
      <c r="B34">
        <v>417.78325841492767</v>
      </c>
      <c r="C34">
        <v>2.5190934173016588</v>
      </c>
      <c r="D34">
        <v>172.75793502389041</v>
      </c>
      <c r="E34">
        <v>417.78325841492767</v>
      </c>
      <c r="F34">
        <v>2.740450189982369</v>
      </c>
      <c r="H34" s="1">
        <f t="shared" si="0"/>
        <v>11032.800369579911</v>
      </c>
    </row>
    <row r="35" spans="1:8">
      <c r="A35">
        <v>185.70195437367309</v>
      </c>
      <c r="B35">
        <v>417.78325777136268</v>
      </c>
      <c r="C35">
        <v>2.418172358931602</v>
      </c>
      <c r="D35">
        <v>170.12483133646779</v>
      </c>
      <c r="E35">
        <v>417.78325777136268</v>
      </c>
      <c r="F35">
        <v>2.6331030438576541</v>
      </c>
      <c r="H35" s="1">
        <f t="shared" si="0"/>
        <v>10596.691534825117</v>
      </c>
    </row>
    <row r="36" spans="1:8">
      <c r="A36">
        <v>183.3805878077286</v>
      </c>
      <c r="B36">
        <v>417.78325716056167</v>
      </c>
      <c r="C36">
        <v>2.3213659551433938</v>
      </c>
      <c r="D36">
        <v>167.5947850528604</v>
      </c>
      <c r="E36">
        <v>417.78325716056167</v>
      </c>
      <c r="F36">
        <v>2.530045672806418</v>
      </c>
      <c r="H36" s="1">
        <f t="shared" si="0"/>
        <v>10178.153679716594</v>
      </c>
    </row>
    <row r="37" spans="1:8">
      <c r="A37">
        <v>181.15208634274279</v>
      </c>
      <c r="B37">
        <v>417.7832565808564</v>
      </c>
      <c r="C37">
        <v>2.2285008852805319</v>
      </c>
      <c r="D37">
        <v>165.1636842684365</v>
      </c>
      <c r="E37">
        <v>417.7832565808564</v>
      </c>
      <c r="F37">
        <v>2.4311002047185091</v>
      </c>
      <c r="H37" s="1">
        <f t="shared" si="0"/>
        <v>9776.4534824453331</v>
      </c>
    </row>
    <row r="38" spans="1:8">
      <c r="A38">
        <v>179.01267423054219</v>
      </c>
      <c r="B38">
        <v>417.78325603066401</v>
      </c>
      <c r="C38">
        <v>2.139411562008215</v>
      </c>
      <c r="D38">
        <v>162.8275870862264</v>
      </c>
      <c r="E38">
        <v>417.78325603066401</v>
      </c>
      <c r="F38">
        <v>2.336096632017771</v>
      </c>
      <c r="H38" s="1">
        <f t="shared" si="0"/>
        <v>9390.8901675760953</v>
      </c>
    </row>
    <row r="39" spans="1:8">
      <c r="A39">
        <v>176.9587339562504</v>
      </c>
      <c r="B39">
        <v>417.783255508482</v>
      </c>
      <c r="C39">
        <v>2.0539397521097889</v>
      </c>
      <c r="D39">
        <v>160.5827141377209</v>
      </c>
      <c r="E39">
        <v>417.783255508482</v>
      </c>
      <c r="F39">
        <v>2.24487242632352</v>
      </c>
      <c r="H39" s="1">
        <f t="shared" si="0"/>
        <v>9020.7939108569626</v>
      </c>
    </row>
    <row r="40" spans="1:8">
      <c r="A40">
        <v>174.986799241706</v>
      </c>
      <c r="B40">
        <v>417.78325501288441</v>
      </c>
      <c r="C40">
        <v>1.971934218946799</v>
      </c>
      <c r="D40">
        <v>158.42544146684341</v>
      </c>
      <c r="E40">
        <v>417.78325501288441</v>
      </c>
      <c r="F40">
        <v>2.1572721752798238</v>
      </c>
      <c r="H40" s="1">
        <f t="shared" si="0"/>
        <v>8665.5243355317671</v>
      </c>
    </row>
    <row r="41" spans="1:8">
      <c r="A41">
        <v>173.09354838645689</v>
      </c>
      <c r="B41">
        <v>417.78325454251762</v>
      </c>
      <c r="C41">
        <v>1.893250384882355</v>
      </c>
      <c r="D41">
        <v>156.35229375669371</v>
      </c>
      <c r="E41">
        <v>417.78325454251762</v>
      </c>
      <c r="F41">
        <v>2.0731472397830069</v>
      </c>
      <c r="H41" s="1">
        <f t="shared" si="0"/>
        <v>8324.4690929019853</v>
      </c>
    </row>
    <row r="42" spans="1:8">
      <c r="A42">
        <v>171.27579792779991</v>
      </c>
      <c r="B42">
        <v>417.78325409609721</v>
      </c>
      <c r="C42">
        <v>1.8177500122365819</v>
      </c>
      <c r="D42">
        <v>154.3599378801361</v>
      </c>
      <c r="E42">
        <v>417.78325409609721</v>
      </c>
      <c r="F42">
        <v>1.9923554301371429</v>
      </c>
      <c r="H42" s="1">
        <f t="shared" si="0"/>
        <v>7997.04252107916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P42"/>
  <sheetViews>
    <sheetView topLeftCell="K1" zoomScale="168" workbookViewId="0">
      <selection activeCell="O40" sqref="O40"/>
    </sheetView>
  </sheetViews>
  <sheetFormatPr baseColWidth="10" defaultColWidth="27.83203125" defaultRowHeight="16"/>
  <cols>
    <col min="5" max="13" width="27.83203125" style="1"/>
    <col min="14" max="14" width="15.83203125" style="1" customWidth="1"/>
    <col min="15" max="16384" width="27.83203125" style="1"/>
  </cols>
  <sheetData>
    <row r="1" spans="1:16">
      <c r="A1" s="9" t="s">
        <v>30</v>
      </c>
      <c r="B1" s="9" t="s">
        <v>31</v>
      </c>
      <c r="C1" s="9" t="s">
        <v>32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33</v>
      </c>
      <c r="K1" s="9" t="s">
        <v>34</v>
      </c>
      <c r="L1" s="9" t="s">
        <v>35</v>
      </c>
      <c r="N1" s="1" t="s">
        <v>36</v>
      </c>
    </row>
    <row r="2" spans="1:16">
      <c r="A2">
        <v>417.7886441319497</v>
      </c>
      <c r="B2">
        <v>417.78331306409262</v>
      </c>
      <c r="D2">
        <v>417.7886441319497</v>
      </c>
      <c r="E2">
        <v>417.78331306409262</v>
      </c>
      <c r="F2"/>
      <c r="G2">
        <v>417.7886441319497</v>
      </c>
      <c r="H2">
        <v>417.78331306409262</v>
      </c>
      <c r="I2"/>
      <c r="J2">
        <v>417.7886441319497</v>
      </c>
      <c r="K2">
        <v>417.78331306409262</v>
      </c>
      <c r="L2"/>
      <c r="P2" s="1" t="s">
        <v>2</v>
      </c>
    </row>
    <row r="3" spans="1:16">
      <c r="A3">
        <v>373.08383399216262</v>
      </c>
      <c r="B3">
        <v>417.78330963833508</v>
      </c>
      <c r="C3">
        <v>44.704806714029537</v>
      </c>
      <c r="D3">
        <v>372.99710999387531</v>
      </c>
      <c r="E3">
        <v>417.78330963833508</v>
      </c>
      <c r="F3">
        <v>44.791530712316792</v>
      </c>
      <c r="G3">
        <v>372.99710999387531</v>
      </c>
      <c r="H3">
        <v>417.78330963833508</v>
      </c>
      <c r="I3">
        <v>44.791530712316792</v>
      </c>
      <c r="J3">
        <v>375.09004323775548</v>
      </c>
      <c r="K3">
        <v>417.78330963833508</v>
      </c>
      <c r="L3">
        <v>42.698597468436652</v>
      </c>
      <c r="N3" s="1">
        <f>(C3*0.2 + F3*0.15 + I3*0.15 + L3*0.4)*$P$3</f>
        <v>182926.63684540731</v>
      </c>
      <c r="P3" s="1">
        <v>4636</v>
      </c>
    </row>
    <row r="4" spans="1:16">
      <c r="A4">
        <v>347.74899499345651</v>
      </c>
      <c r="B4">
        <v>417.78330638698299</v>
      </c>
      <c r="C4">
        <v>25.334835747354031</v>
      </c>
      <c r="D4">
        <v>347.61295617755178</v>
      </c>
      <c r="E4">
        <v>417.78330638698299</v>
      </c>
      <c r="F4">
        <v>25.38415056497151</v>
      </c>
      <c r="G4">
        <v>347.61295617755178</v>
      </c>
      <c r="H4">
        <v>417.78330638698299</v>
      </c>
      <c r="I4">
        <v>25.38415056497151</v>
      </c>
      <c r="J4">
        <v>350.89583524532912</v>
      </c>
      <c r="K4">
        <v>417.78330638698299</v>
      </c>
      <c r="L4">
        <v>24.194204741074319</v>
      </c>
      <c r="N4" s="1">
        <f t="shared" ref="N4:N42" si="0">(C4*0.2 + F4*0.15 + I4*0.15 + L4*0.4)*$P$3</f>
        <v>103660.46958255726</v>
      </c>
    </row>
    <row r="5" spans="1:16">
      <c r="A5">
        <v>330.44516584878909</v>
      </c>
      <c r="B5">
        <v>417.7833033011575</v>
      </c>
      <c r="C5">
        <v>17.30382605884185</v>
      </c>
      <c r="D5">
        <v>330.27518760103328</v>
      </c>
      <c r="E5">
        <v>417.7833033011575</v>
      </c>
      <c r="F5">
        <v>17.337765490692959</v>
      </c>
      <c r="G5">
        <v>330.27518760103328</v>
      </c>
      <c r="H5">
        <v>417.7833033011575</v>
      </c>
      <c r="I5">
        <v>17.337765490692959</v>
      </c>
      <c r="J5">
        <v>334.37673000912821</v>
      </c>
      <c r="K5">
        <v>417.7833033011575</v>
      </c>
      <c r="L5">
        <v>16.519102150375389</v>
      </c>
      <c r="N5" s="1">
        <f t="shared" si="0"/>
        <v>70790.49479387005</v>
      </c>
    </row>
    <row r="6" spans="1:16">
      <c r="A6">
        <v>317.48718546038128</v>
      </c>
      <c r="B6">
        <v>417.78330037243182</v>
      </c>
      <c r="C6">
        <v>12.95797745968212</v>
      </c>
      <c r="D6">
        <v>317.29148570111579</v>
      </c>
      <c r="E6">
        <v>417.78330037243182</v>
      </c>
      <c r="F6">
        <v>12.98369897119176</v>
      </c>
      <c r="G6">
        <v>317.29148570111579</v>
      </c>
      <c r="H6">
        <v>417.78330037243182</v>
      </c>
      <c r="I6">
        <v>12.98369897119176</v>
      </c>
      <c r="J6">
        <v>322.01312976644391</v>
      </c>
      <c r="K6">
        <v>417.78330037243182</v>
      </c>
      <c r="L6">
        <v>12.363597313958611</v>
      </c>
      <c r="N6" s="1">
        <f t="shared" si="0"/>
        <v>52999.420088755607</v>
      </c>
    </row>
    <row r="7" spans="1:16">
      <c r="A7">
        <v>306.9636731707331</v>
      </c>
      <c r="B7">
        <v>417.78329759280763</v>
      </c>
      <c r="C7">
        <v>10.523509510024009</v>
      </c>
      <c r="D7">
        <v>306.74676888738787</v>
      </c>
      <c r="E7">
        <v>417.78329759280763</v>
      </c>
      <c r="F7">
        <v>10.54471403410378</v>
      </c>
      <c r="G7">
        <v>306.74676888738787</v>
      </c>
      <c r="H7">
        <v>417.78329759280763</v>
      </c>
      <c r="I7">
        <v>10.54471403410378</v>
      </c>
      <c r="J7">
        <v>311.97927311103831</v>
      </c>
      <c r="K7">
        <v>417.78329759280763</v>
      </c>
      <c r="L7">
        <v>10.03385387578145</v>
      </c>
      <c r="N7" s="1">
        <f t="shared" si="0"/>
        <v>43029.764923574912</v>
      </c>
    </row>
    <row r="8" spans="1:16">
      <c r="A8">
        <v>297.87071716117993</v>
      </c>
      <c r="B8">
        <v>417.78329495469421</v>
      </c>
      <c r="C8">
        <v>9.0929533714398616</v>
      </c>
      <c r="D8">
        <v>297.63519109161132</v>
      </c>
      <c r="E8">
        <v>417.78329495469421</v>
      </c>
      <c r="F8">
        <v>9.1115751576631965</v>
      </c>
      <c r="G8">
        <v>297.63519109161132</v>
      </c>
      <c r="H8">
        <v>417.78329495469421</v>
      </c>
      <c r="I8">
        <v>9.1115751576631965</v>
      </c>
      <c r="J8">
        <v>303.31600533793329</v>
      </c>
      <c r="K8">
        <v>417.78329495469421</v>
      </c>
      <c r="L8">
        <v>8.6632651349915957</v>
      </c>
      <c r="N8" s="1">
        <f t="shared" si="0"/>
        <v>37168.523961605424</v>
      </c>
    </row>
    <row r="9" spans="1:16">
      <c r="A9">
        <v>289.67531633961028</v>
      </c>
      <c r="B9">
        <v>417.78329245088747</v>
      </c>
      <c r="C9">
        <v>8.1953983177628178</v>
      </c>
      <c r="D9">
        <v>289.42273230948592</v>
      </c>
      <c r="E9">
        <v>417.78329245088747</v>
      </c>
      <c r="F9">
        <v>8.2124562783186601</v>
      </c>
      <c r="G9">
        <v>289.42273230948592</v>
      </c>
      <c r="H9">
        <v>417.78329245088747</v>
      </c>
      <c r="I9">
        <v>8.2124562783186601</v>
      </c>
      <c r="J9">
        <v>295.51390998521651</v>
      </c>
      <c r="K9">
        <v>417.78329245088747</v>
      </c>
      <c r="L9">
        <v>7.8020928489100827</v>
      </c>
      <c r="N9" s="1">
        <f t="shared" si="0"/>
        <v>33488.858491134131</v>
      </c>
    </row>
    <row r="10" spans="1:16">
      <c r="A10">
        <v>282.09092634122248</v>
      </c>
      <c r="B10">
        <v>417.7832900745496</v>
      </c>
      <c r="C10">
        <v>7.5843876220499453</v>
      </c>
      <c r="D10">
        <v>281.82230728697198</v>
      </c>
      <c r="E10">
        <v>417.7832900745496</v>
      </c>
      <c r="F10">
        <v>7.6004226461760176</v>
      </c>
      <c r="G10">
        <v>281.82230728697198</v>
      </c>
      <c r="H10">
        <v>417.7832900745496</v>
      </c>
      <c r="I10">
        <v>7.6004226461760176</v>
      </c>
      <c r="J10">
        <v>288.29896929385581</v>
      </c>
      <c r="K10">
        <v>417.7832900745496</v>
      </c>
      <c r="L10">
        <v>7.2149383150228594</v>
      </c>
      <c r="N10" s="1">
        <f t="shared" si="0"/>
        <v>30982.293630844706</v>
      </c>
    </row>
    <row r="11" spans="1:16">
      <c r="A11">
        <v>274.9606955934546</v>
      </c>
      <c r="B11">
        <v>417.78328781919129</v>
      </c>
      <c r="C11">
        <v>7.130228492409576</v>
      </c>
      <c r="D11">
        <v>274.67677438487311</v>
      </c>
      <c r="E11">
        <v>417.78328781919129</v>
      </c>
      <c r="F11">
        <v>7.1455306467406432</v>
      </c>
      <c r="G11">
        <v>274.67677438487311</v>
      </c>
      <c r="H11">
        <v>417.78328781919129</v>
      </c>
      <c r="I11">
        <v>7.1455306467406432</v>
      </c>
      <c r="J11">
        <v>281.52105539052872</v>
      </c>
      <c r="K11">
        <v>417.78328781919129</v>
      </c>
      <c r="L11">
        <v>6.777911647968736</v>
      </c>
      <c r="N11" s="1">
        <f t="shared" si="0"/>
        <v>29118.111241642273</v>
      </c>
    </row>
    <row r="12" spans="1:16">
      <c r="A12">
        <v>268.19631198558722</v>
      </c>
      <c r="B12">
        <v>417.7832856786535</v>
      </c>
      <c r="C12">
        <v>6.764381467329609</v>
      </c>
      <c r="D12">
        <v>267.89766344039822</v>
      </c>
      <c r="E12">
        <v>417.7832856786535</v>
      </c>
      <c r="F12">
        <v>6.7791088039370067</v>
      </c>
      <c r="G12">
        <v>267.89766344039822</v>
      </c>
      <c r="H12">
        <v>417.7832856786535</v>
      </c>
      <c r="I12">
        <v>6.7791088039370067</v>
      </c>
      <c r="J12">
        <v>275.0955251605331</v>
      </c>
      <c r="K12">
        <v>417.7832856786535</v>
      </c>
      <c r="L12">
        <v>6.4255280894577522</v>
      </c>
      <c r="N12" s="1">
        <f t="shared" si="0"/>
        <v>27615.818310114057</v>
      </c>
    </row>
    <row r="13" spans="1:16">
      <c r="A13">
        <v>261.74584881535111</v>
      </c>
      <c r="B13">
        <v>417.78328364709051</v>
      </c>
      <c r="C13">
        <v>6.450461138673063</v>
      </c>
      <c r="D13">
        <v>261.43295935521178</v>
      </c>
      <c r="E13">
        <v>417.78328364709051</v>
      </c>
      <c r="F13">
        <v>6.4647020536234034</v>
      </c>
      <c r="G13">
        <v>261.43295935521178</v>
      </c>
      <c r="H13">
        <v>417.78328364709051</v>
      </c>
      <c r="I13">
        <v>6.4647020536234034</v>
      </c>
      <c r="J13">
        <v>268.9725087496102</v>
      </c>
      <c r="K13">
        <v>417.78328364709051</v>
      </c>
      <c r="L13">
        <v>6.1230143793598906</v>
      </c>
      <c r="N13" s="1">
        <f t="shared" si="0"/>
        <v>26326.493049042074</v>
      </c>
    </row>
    <row r="14" spans="1:16">
      <c r="A14">
        <v>255.57681718117121</v>
      </c>
      <c r="B14">
        <v>417.78328171895453</v>
      </c>
      <c r="C14">
        <v>6.1690297060439478</v>
      </c>
      <c r="D14">
        <v>255.2501216862936</v>
      </c>
      <c r="E14">
        <v>417.78328171895453</v>
      </c>
      <c r="F14">
        <v>6.1828357407822567</v>
      </c>
      <c r="G14">
        <v>255.2501216862936</v>
      </c>
      <c r="H14">
        <v>417.78328171895453</v>
      </c>
      <c r="I14">
        <v>6.1828357407822567</v>
      </c>
      <c r="J14">
        <v>263.12072082359879</v>
      </c>
      <c r="K14">
        <v>417.78328171895453</v>
      </c>
      <c r="L14">
        <v>5.8517859978754014</v>
      </c>
      <c r="N14" s="1">
        <f t="shared" si="0"/>
        <v>25170.564246184058</v>
      </c>
    </row>
    <row r="15" spans="1:16">
      <c r="A15">
        <v>249.6672173468545</v>
      </c>
      <c r="B15">
        <v>417.78327988898002</v>
      </c>
      <c r="C15">
        <v>5.9095980043422474</v>
      </c>
      <c r="D15">
        <v>249.32711873287451</v>
      </c>
      <c r="E15">
        <v>417.78327988898002</v>
      </c>
      <c r="F15">
        <v>5.9230011234445739</v>
      </c>
      <c r="G15">
        <v>249.32711873287451</v>
      </c>
      <c r="H15">
        <v>417.78327988898002</v>
      </c>
      <c r="I15">
        <v>5.9230011234445739</v>
      </c>
      <c r="J15">
        <v>257.51891169754481</v>
      </c>
      <c r="K15">
        <v>417.78327988898002</v>
      </c>
      <c r="L15">
        <v>5.6018072960795662</v>
      </c>
      <c r="N15" s="1">
        <f t="shared" si="0"/>
        <v>24105.080681962794</v>
      </c>
    </row>
    <row r="16" spans="1:16">
      <c r="A16">
        <v>244.00080541816749</v>
      </c>
      <c r="B16">
        <v>417.78327815216949</v>
      </c>
      <c r="C16">
        <v>5.6664101918765182</v>
      </c>
      <c r="D16">
        <v>243.64768510269079</v>
      </c>
      <c r="E16">
        <v>417.78327815216949</v>
      </c>
      <c r="F16">
        <v>5.6794318933732768</v>
      </c>
      <c r="G16">
        <v>243.64768510269079</v>
      </c>
      <c r="H16">
        <v>417.78327815216949</v>
      </c>
      <c r="I16">
        <v>5.6794318933732768</v>
      </c>
      <c r="J16">
        <v>252.15134482817399</v>
      </c>
      <c r="K16">
        <v>417.78327815216949</v>
      </c>
      <c r="L16">
        <v>5.3675651325603537</v>
      </c>
      <c r="N16" s="1">
        <f t="shared" si="0"/>
        <v>23106.462189031379</v>
      </c>
    </row>
    <row r="17" spans="1:14">
      <c r="A17">
        <v>238.56458389654429</v>
      </c>
      <c r="B17">
        <v>417.78327650378043</v>
      </c>
      <c r="C17">
        <v>5.4362198732340659</v>
      </c>
      <c r="D17">
        <v>238.19880745698549</v>
      </c>
      <c r="E17">
        <v>417.78327650378043</v>
      </c>
      <c r="F17">
        <v>5.4488759973161844</v>
      </c>
      <c r="G17">
        <v>238.19880745698549</v>
      </c>
      <c r="H17">
        <v>417.78327650378043</v>
      </c>
      <c r="I17">
        <v>5.4488759973161844</v>
      </c>
      <c r="J17">
        <v>247.0053986604766</v>
      </c>
      <c r="K17">
        <v>417.78327650378043</v>
      </c>
      <c r="L17">
        <v>5.1459445193083058</v>
      </c>
      <c r="N17" s="1">
        <f t="shared" si="0"/>
        <v>22161.399320135301</v>
      </c>
    </row>
    <row r="18" spans="1:14">
      <c r="A18">
        <v>233.34746642697689</v>
      </c>
      <c r="B18">
        <v>417.78327493931079</v>
      </c>
      <c r="C18">
        <v>5.2171159050978089</v>
      </c>
      <c r="D18">
        <v>232.9693867168065</v>
      </c>
      <c r="E18">
        <v>417.78327493931079</v>
      </c>
      <c r="F18">
        <v>5.2294191757094213</v>
      </c>
      <c r="G18">
        <v>232.9693867168065</v>
      </c>
      <c r="H18">
        <v>417.78327493931079</v>
      </c>
      <c r="I18">
        <v>5.2294191757094213</v>
      </c>
      <c r="J18">
        <v>242.07029021177121</v>
      </c>
      <c r="K18">
        <v>417.78327493931079</v>
      </c>
      <c r="L18">
        <v>4.9351068842357693</v>
      </c>
      <c r="N18" s="1">
        <f t="shared" si="0"/>
        <v>21262.048262910164</v>
      </c>
    </row>
    <row r="19" spans="1:14">
      <c r="A19">
        <v>228.33956297873689</v>
      </c>
      <c r="B19">
        <v>417.78327345448838</v>
      </c>
      <c r="C19">
        <v>5.0079019634175497</v>
      </c>
      <c r="D19">
        <v>227.94952189761739</v>
      </c>
      <c r="E19">
        <v>417.78327345448838</v>
      </c>
      <c r="F19">
        <v>5.0198633343667156</v>
      </c>
      <c r="G19">
        <v>227.94952189761739</v>
      </c>
      <c r="H19">
        <v>417.78327345448838</v>
      </c>
      <c r="I19">
        <v>5.0198633343667156</v>
      </c>
      <c r="J19">
        <v>237.3363914249361</v>
      </c>
      <c r="K19">
        <v>417.78327345448838</v>
      </c>
      <c r="L19">
        <v>4.7338973020126121</v>
      </c>
      <c r="N19" s="1">
        <f t="shared" si="0"/>
        <v>20403.491782770168</v>
      </c>
    </row>
    <row r="20" spans="1:14">
      <c r="A20">
        <v>223.5317931647823</v>
      </c>
      <c r="B20">
        <v>417.78327204525851</v>
      </c>
      <c r="C20">
        <v>4.8077684047246647</v>
      </c>
      <c r="D20">
        <v>223.13012271331601</v>
      </c>
      <c r="E20">
        <v>417.78327204525851</v>
      </c>
      <c r="F20">
        <v>4.8193977750714199</v>
      </c>
      <c r="G20">
        <v>223.13012271331601</v>
      </c>
      <c r="H20">
        <v>417.78327204525851</v>
      </c>
      <c r="I20">
        <v>4.8193977750714199</v>
      </c>
      <c r="J20">
        <v>232.7948590637896</v>
      </c>
      <c r="K20">
        <v>417.78327204525851</v>
      </c>
      <c r="L20">
        <v>4.5415309519165854</v>
      </c>
      <c r="N20" s="1">
        <f t="shared" si="0"/>
        <v>19582.39628766416</v>
      </c>
    </row>
    <row r="21" spans="1:14">
      <c r="A21">
        <v>218.91567335703201</v>
      </c>
      <c r="B21">
        <v>417.78327070777249</v>
      </c>
      <c r="C21">
        <v>4.6161184702643752</v>
      </c>
      <c r="D21">
        <v>218.50269630910131</v>
      </c>
      <c r="E21">
        <v>417.78327070777249</v>
      </c>
      <c r="F21">
        <v>4.627425066728641</v>
      </c>
      <c r="G21">
        <v>218.50269630910131</v>
      </c>
      <c r="H21">
        <v>417.78327070777249</v>
      </c>
      <c r="I21">
        <v>4.627425066728641</v>
      </c>
      <c r="J21">
        <v>228.4374306973462</v>
      </c>
      <c r="K21">
        <v>417.78327070777249</v>
      </c>
      <c r="L21">
        <v>4.3574270289574626</v>
      </c>
      <c r="N21" s="1">
        <f t="shared" si="0"/>
        <v>18796.300510934041</v>
      </c>
    </row>
    <row r="22" spans="1:14">
      <c r="A22">
        <v>214.48319606915049</v>
      </c>
      <c r="B22">
        <v>417.78326943837811</v>
      </c>
      <c r="C22">
        <v>4.4324760184870913</v>
      </c>
      <c r="D22">
        <v>214.05922643781301</v>
      </c>
      <c r="E22">
        <v>417.78326943837811</v>
      </c>
      <c r="F22">
        <v>4.4434686018939731</v>
      </c>
      <c r="G22">
        <v>214.05922643781301</v>
      </c>
      <c r="H22">
        <v>417.78326943837811</v>
      </c>
      <c r="I22">
        <v>4.4434686018939731</v>
      </c>
      <c r="J22">
        <v>224.25630887814879</v>
      </c>
      <c r="K22">
        <v>417.78326943837811</v>
      </c>
      <c r="L22">
        <v>4.1811205498029551</v>
      </c>
      <c r="N22" s="1">
        <f t="shared" si="0"/>
        <v>18043.23784340997</v>
      </c>
    </row>
    <row r="23" spans="1:14">
      <c r="A23">
        <v>210.2267585225172</v>
      </c>
      <c r="B23">
        <v>417.78326823360862</v>
      </c>
      <c r="C23">
        <v>4.2564363418636972</v>
      </c>
      <c r="D23">
        <v>209.79210191258821</v>
      </c>
      <c r="E23">
        <v>417.78326823360862</v>
      </c>
      <c r="F23">
        <v>4.2671233204552008</v>
      </c>
      <c r="G23">
        <v>209.79210191258821</v>
      </c>
      <c r="H23">
        <v>417.78326823360862</v>
      </c>
      <c r="I23">
        <v>4.2671233204552008</v>
      </c>
      <c r="J23">
        <v>220.24409234730069</v>
      </c>
      <c r="K23">
        <v>417.78326823360862</v>
      </c>
      <c r="L23">
        <v>4.0122153260785538</v>
      </c>
      <c r="N23" s="1">
        <f t="shared" si="0"/>
        <v>17321.534990945183</v>
      </c>
    </row>
    <row r="24" spans="1:14">
      <c r="A24">
        <v>206.1391176126705</v>
      </c>
      <c r="B24">
        <v>417.78326709017392</v>
      </c>
      <c r="C24">
        <v>4.0876397664120887</v>
      </c>
      <c r="D24">
        <v>205.69407150941561</v>
      </c>
      <c r="E24">
        <v>417.78326709017392</v>
      </c>
      <c r="F24">
        <v>4.0980292597379586</v>
      </c>
      <c r="G24">
        <v>205.69407150941561</v>
      </c>
      <c r="H24">
        <v>417.78326709017392</v>
      </c>
      <c r="I24">
        <v>4.0980292597379586</v>
      </c>
      <c r="J24">
        <v>216.3937324952027</v>
      </c>
      <c r="K24">
        <v>417.78326709017392</v>
      </c>
      <c r="L24">
        <v>3.8503587086633861</v>
      </c>
      <c r="N24" s="1">
        <f t="shared" si="0"/>
        <v>16629.703875206225</v>
      </c>
    </row>
    <row r="25" spans="1:14">
      <c r="A25">
        <v>202.21335921652741</v>
      </c>
      <c r="B25">
        <v>417.78326600495149</v>
      </c>
      <c r="C25">
        <v>3.925757310920754</v>
      </c>
      <c r="D25">
        <v>201.75821323680489</v>
      </c>
      <c r="E25">
        <v>417.78326600495149</v>
      </c>
      <c r="F25">
        <v>3.9358571873883998</v>
      </c>
      <c r="G25">
        <v>201.75821323680489</v>
      </c>
      <c r="H25">
        <v>417.78326600495149</v>
      </c>
      <c r="I25">
        <v>3.9358571873883998</v>
      </c>
      <c r="J25">
        <v>212.69850355256219</v>
      </c>
      <c r="K25">
        <v>417.78326600495149</v>
      </c>
      <c r="L25">
        <v>3.6952278574181232</v>
      </c>
      <c r="N25" s="1">
        <f t="shared" si="0"/>
        <v>15966.382893701679</v>
      </c>
    </row>
    <row r="26" spans="1:14">
      <c r="A26">
        <v>198.44287544571819</v>
      </c>
      <c r="B26">
        <v>417.78326497497818</v>
      </c>
      <c r="C26">
        <v>3.770482740835793</v>
      </c>
      <c r="D26">
        <v>197.97791156571489</v>
      </c>
      <c r="E26">
        <v>417.78326497497818</v>
      </c>
      <c r="F26">
        <v>3.7803006411165971</v>
      </c>
      <c r="G26">
        <v>197.97791156571489</v>
      </c>
      <c r="H26">
        <v>417.78326497497818</v>
      </c>
      <c r="I26">
        <v>3.7803006411165971</v>
      </c>
      <c r="J26">
        <v>209.1519803994006</v>
      </c>
      <c r="K26">
        <v>417.78326497497818</v>
      </c>
      <c r="L26">
        <v>3.5465221231881991</v>
      </c>
      <c r="N26" s="1">
        <f t="shared" si="0"/>
        <v>15330.304354208107</v>
      </c>
    </row>
    <row r="27" spans="1:14">
      <c r="A27">
        <v>194.8213464452067</v>
      </c>
      <c r="B27">
        <v>417.7832639974406</v>
      </c>
      <c r="C27">
        <v>3.621528022973997</v>
      </c>
      <c r="D27">
        <v>194.34683921245579</v>
      </c>
      <c r="E27">
        <v>417.7832639974406</v>
      </c>
      <c r="F27">
        <v>3.6310713757214832</v>
      </c>
      <c r="G27">
        <v>194.34683921245579</v>
      </c>
      <c r="H27">
        <v>417.7832639974406</v>
      </c>
      <c r="I27">
        <v>3.6310713757214832</v>
      </c>
      <c r="J27">
        <v>205.74802074070999</v>
      </c>
      <c r="K27">
        <v>417.7832639974406</v>
      </c>
      <c r="L27">
        <v>3.4039586811530729</v>
      </c>
      <c r="N27" s="1">
        <f t="shared" si="0"/>
        <v>14720.275830585188</v>
      </c>
    </row>
    <row r="28" spans="1:14">
      <c r="A28">
        <v>191.3427249193297</v>
      </c>
      <c r="B28">
        <v>417.78326306966972</v>
      </c>
      <c r="C28">
        <v>3.478620598106029</v>
      </c>
      <c r="D28">
        <v>190.8589416532738</v>
      </c>
      <c r="E28">
        <v>417.78326306966972</v>
      </c>
      <c r="F28">
        <v>3.4878966314111608</v>
      </c>
      <c r="G28">
        <v>190.8589416532738</v>
      </c>
      <c r="H28">
        <v>417.78326306966972</v>
      </c>
      <c r="I28">
        <v>3.4878966314111608</v>
      </c>
      <c r="J28">
        <v>202.48074991021389</v>
      </c>
      <c r="K28">
        <v>417.78326306966972</v>
      </c>
      <c r="L28">
        <v>3.2672699027251451</v>
      </c>
      <c r="N28" s="1">
        <f t="shared" si="0"/>
        <v>14135.168961144062</v>
      </c>
    </row>
    <row r="29" spans="1:14">
      <c r="A29">
        <v>188.00122240505411</v>
      </c>
      <c r="B29">
        <v>417.78326218913139</v>
      </c>
      <c r="C29">
        <v>3.3415016337373422</v>
      </c>
      <c r="D29">
        <v>187.5084233885924</v>
      </c>
      <c r="E29">
        <v>417.78326218913139</v>
      </c>
      <c r="F29">
        <v>3.3505173841431009</v>
      </c>
      <c r="G29">
        <v>187.5084233885924</v>
      </c>
      <c r="H29">
        <v>417.78326218913139</v>
      </c>
      <c r="I29">
        <v>3.3505173841431009</v>
      </c>
      <c r="J29">
        <v>199.34454736429899</v>
      </c>
      <c r="K29">
        <v>417.78326218913139</v>
      </c>
      <c r="L29">
        <v>3.1362016653766771</v>
      </c>
      <c r="N29" s="1">
        <f t="shared" si="0"/>
        <v>13573.912260941999</v>
      </c>
    </row>
    <row r="30" spans="1:14">
      <c r="A30">
        <v>184.79129675613169</v>
      </c>
      <c r="B30">
        <v>417.78326135342172</v>
      </c>
      <c r="C30">
        <v>3.2099248132126612</v>
      </c>
      <c r="D30">
        <v>184.28973541961409</v>
      </c>
      <c r="E30">
        <v>417.78326135342172</v>
      </c>
      <c r="F30">
        <v>3.2186871332685669</v>
      </c>
      <c r="G30">
        <v>184.28973541961409</v>
      </c>
      <c r="H30">
        <v>417.78326135342172</v>
      </c>
      <c r="I30">
        <v>3.2186871332685669</v>
      </c>
      <c r="J30">
        <v>196.33403435248169</v>
      </c>
      <c r="K30">
        <v>417.78326135342172</v>
      </c>
      <c r="L30">
        <v>3.0105121761075542</v>
      </c>
      <c r="N30" s="1">
        <f t="shared" si="0"/>
        <v>13035.48613113455</v>
      </c>
    </row>
    <row r="31" spans="1:14">
      <c r="A31">
        <v>181.70764053760871</v>
      </c>
      <c r="B31">
        <v>417.78326056025782</v>
      </c>
      <c r="C31">
        <v>3.0836554253591211</v>
      </c>
      <c r="D31">
        <v>181.19756363620661</v>
      </c>
      <c r="E31">
        <v>417.78326056025782</v>
      </c>
      <c r="F31">
        <v>3.0921709902435501</v>
      </c>
      <c r="G31">
        <v>181.19756363620661</v>
      </c>
      <c r="H31">
        <v>417.78326056025782</v>
      </c>
      <c r="I31">
        <v>3.0921709902435501</v>
      </c>
      <c r="J31">
        <v>193.44406247617991</v>
      </c>
      <c r="K31">
        <v>417.78326056025782</v>
      </c>
      <c r="L31">
        <v>2.88997108313787</v>
      </c>
      <c r="N31" s="1">
        <f t="shared" si="0"/>
        <v>12518.919100194573</v>
      </c>
    </row>
    <row r="32" spans="1:14">
      <c r="A32">
        <v>178.74517015588791</v>
      </c>
      <c r="B32">
        <v>417.78325980747371</v>
      </c>
      <c r="C32">
        <v>2.9624696289367072</v>
      </c>
      <c r="D32">
        <v>178.2268179409798</v>
      </c>
      <c r="E32">
        <v>417.78325980747371</v>
      </c>
      <c r="F32">
        <v>2.9707449424427779</v>
      </c>
      <c r="G32">
        <v>178.2268179409798</v>
      </c>
      <c r="H32">
        <v>417.78325980747371</v>
      </c>
      <c r="I32">
        <v>2.9707449424427779</v>
      </c>
      <c r="J32">
        <v>190.66970296780221</v>
      </c>
      <c r="K32">
        <v>417.78325980747371</v>
      </c>
      <c r="L32">
        <v>2.7743587555936009</v>
      </c>
      <c r="N32" s="1">
        <f t="shared" si="0"/>
        <v>12023.284782272305</v>
      </c>
    </row>
    <row r="33" spans="1:14">
      <c r="A33">
        <v>175.89901561706259</v>
      </c>
      <c r="B33">
        <v>417.78325909301412</v>
      </c>
      <c r="C33">
        <v>2.8461538243656719</v>
      </c>
      <c r="D33">
        <v>175.3726220021056</v>
      </c>
      <c r="E33">
        <v>417.78325909301412</v>
      </c>
      <c r="F33">
        <v>2.854195224414553</v>
      </c>
      <c r="G33">
        <v>175.3726220021056</v>
      </c>
      <c r="H33">
        <v>417.78325909301412</v>
      </c>
      <c r="I33">
        <v>2.854195224414553</v>
      </c>
      <c r="J33">
        <v>188.00623658675801</v>
      </c>
      <c r="K33">
        <v>417.78325909301412</v>
      </c>
      <c r="L33">
        <v>2.6634656665846541</v>
      </c>
      <c r="N33" s="1">
        <f t="shared" si="0"/>
        <v>11547.699276182195</v>
      </c>
    </row>
    <row r="34" spans="1:14">
      <c r="A34">
        <v>173.16451084292561</v>
      </c>
      <c r="B34">
        <v>417.78325841492767</v>
      </c>
      <c r="C34">
        <v>2.734504096050661</v>
      </c>
      <c r="D34">
        <v>172.63030356418719</v>
      </c>
      <c r="E34">
        <v>417.78325841492767</v>
      </c>
      <c r="F34">
        <v>2.7423177598320572</v>
      </c>
      <c r="G34">
        <v>172.63030356418719</v>
      </c>
      <c r="H34">
        <v>417.78325841492767</v>
      </c>
      <c r="I34">
        <v>2.7423177598320572</v>
      </c>
      <c r="J34">
        <v>185.44914406410339</v>
      </c>
      <c r="K34">
        <v>417.78325841492767</v>
      </c>
      <c r="L34">
        <v>2.55709184456822</v>
      </c>
      <c r="N34" s="1">
        <f t="shared" si="0"/>
        <v>11091.318854799905</v>
      </c>
    </row>
    <row r="35" spans="1:14">
      <c r="A35">
        <v>170.5371844943713</v>
      </c>
      <c r="B35">
        <v>417.78325777136268</v>
      </c>
      <c r="C35">
        <v>2.627325704989298</v>
      </c>
      <c r="D35">
        <v>169.99538526682849</v>
      </c>
      <c r="E35">
        <v>417.78325777136268</v>
      </c>
      <c r="F35">
        <v>2.634917653793698</v>
      </c>
      <c r="G35">
        <v>169.99538526682849</v>
      </c>
      <c r="H35">
        <v>417.78325777136268</v>
      </c>
      <c r="I35">
        <v>2.634917653793698</v>
      </c>
      <c r="J35">
        <v>182.99409704700139</v>
      </c>
      <c r="K35">
        <v>417.78325777136268</v>
      </c>
      <c r="L35">
        <v>2.4550463735369679</v>
      </c>
      <c r="N35" s="1">
        <f t="shared" si="0"/>
        <v>10653.337861649305</v>
      </c>
    </row>
    <row r="36" spans="1:14">
      <c r="A36">
        <v>168.01275126349739</v>
      </c>
      <c r="B36">
        <v>417.78325716056167</v>
      </c>
      <c r="C36">
        <v>2.5244326200728442</v>
      </c>
      <c r="D36">
        <v>167.4635759321763</v>
      </c>
      <c r="E36">
        <v>417.78325716056167</v>
      </c>
      <c r="F36">
        <v>2.5318087238511988</v>
      </c>
      <c r="G36">
        <v>167.4635759321763</v>
      </c>
      <c r="H36">
        <v>417.78325716056167</v>
      </c>
      <c r="I36">
        <v>2.5318087238511988</v>
      </c>
      <c r="J36">
        <v>180.63694950529151</v>
      </c>
      <c r="K36">
        <v>417.78325716056167</v>
      </c>
      <c r="L36">
        <v>2.357146930908991</v>
      </c>
      <c r="N36" s="1">
        <f t="shared" si="0"/>
        <v>10232.986767141421</v>
      </c>
    </row>
    <row r="37" spans="1:14">
      <c r="A37">
        <v>165.5871036026395</v>
      </c>
      <c r="B37">
        <v>417.7832565808564</v>
      </c>
      <c r="C37">
        <v>2.425647081152571</v>
      </c>
      <c r="D37">
        <v>165.03076228962959</v>
      </c>
      <c r="E37">
        <v>417.7832565808564</v>
      </c>
      <c r="F37">
        <v>2.4328130628412961</v>
      </c>
      <c r="G37">
        <v>165.03076228962959</v>
      </c>
      <c r="H37">
        <v>417.7832565808564</v>
      </c>
      <c r="I37">
        <v>2.4328130628412961</v>
      </c>
      <c r="J37">
        <v>178.3737295691233</v>
      </c>
      <c r="K37">
        <v>417.7832565808564</v>
      </c>
      <c r="L37">
        <v>2.2632193564627459</v>
      </c>
      <c r="N37" s="1">
        <f t="shared" si="0"/>
        <v>9829.5303560688535</v>
      </c>
    </row>
    <row r="38" spans="1:14">
      <c r="A38">
        <v>163.25630386296331</v>
      </c>
      <c r="B38">
        <v>417.78325603066401</v>
      </c>
      <c r="C38">
        <v>2.3307991894838742</v>
      </c>
      <c r="D38">
        <v>162.69300111032459</v>
      </c>
      <c r="E38">
        <v>417.78325603066401</v>
      </c>
      <c r="F38">
        <v>2.3377606291125992</v>
      </c>
      <c r="G38">
        <v>162.69300111032459</v>
      </c>
      <c r="H38">
        <v>417.78325603066401</v>
      </c>
      <c r="I38">
        <v>2.3377606291125992</v>
      </c>
      <c r="J38">
        <v>176.20063177084489</v>
      </c>
      <c r="K38">
        <v>417.78325603066401</v>
      </c>
      <c r="L38">
        <v>2.1730972480860422</v>
      </c>
      <c r="N38" s="1">
        <f t="shared" si="0"/>
        <v>9442.2660283100086</v>
      </c>
    </row>
    <row r="39" spans="1:14">
      <c r="A39">
        <v>161.016576818244</v>
      </c>
      <c r="B39">
        <v>417.783255508482</v>
      </c>
      <c r="C39">
        <v>2.239726522537282</v>
      </c>
      <c r="D39">
        <v>160.44651172700051</v>
      </c>
      <c r="E39">
        <v>417.783255508482</v>
      </c>
      <c r="F39">
        <v>2.2464888611421072</v>
      </c>
      <c r="G39">
        <v>160.44651172700051</v>
      </c>
      <c r="H39">
        <v>417.783255508482</v>
      </c>
      <c r="I39">
        <v>2.2464888611421072</v>
      </c>
      <c r="J39">
        <v>174.11400966723599</v>
      </c>
      <c r="K39">
        <v>417.783255508482</v>
      </c>
      <c r="L39">
        <v>2.086621581426968</v>
      </c>
      <c r="N39" s="1">
        <f t="shared" si="0"/>
        <v>9070.5222003711788</v>
      </c>
    </row>
    <row r="40" spans="1:14">
      <c r="A40">
        <v>158.8643025516831</v>
      </c>
      <c r="B40">
        <v>417.78325501288441</v>
      </c>
      <c r="C40">
        <v>2.152273770963324</v>
      </c>
      <c r="D40">
        <v>158.2876689170823</v>
      </c>
      <c r="E40">
        <v>417.78325501288441</v>
      </c>
      <c r="F40">
        <v>2.158842314320661</v>
      </c>
      <c r="G40">
        <v>158.2876689170823</v>
      </c>
      <c r="H40">
        <v>417.78325501288441</v>
      </c>
      <c r="I40">
        <v>2.158842314320661</v>
      </c>
      <c r="J40">
        <v>172.11036882033531</v>
      </c>
      <c r="K40">
        <v>417.78325501288441</v>
      </c>
      <c r="L40">
        <v>2.0036403513030709</v>
      </c>
      <c r="N40" s="1">
        <f t="shared" si="0"/>
        <v>8713.6567986507835</v>
      </c>
    </row>
    <row r="41" spans="1:14">
      <c r="A41">
        <v>156.79600968537079</v>
      </c>
      <c r="B41">
        <v>417.78325454251762</v>
      </c>
      <c r="C41">
        <v>2.0682923959455048</v>
      </c>
      <c r="D41">
        <v>156.21299612857391</v>
      </c>
      <c r="E41">
        <v>417.78325454251762</v>
      </c>
      <c r="F41">
        <v>2.0746723181416851</v>
      </c>
      <c r="G41">
        <v>156.21299612857391</v>
      </c>
      <c r="H41">
        <v>417.78325454251762</v>
      </c>
      <c r="I41">
        <v>2.0746723181416851</v>
      </c>
      <c r="J41">
        <v>170.1863601168204</v>
      </c>
      <c r="K41">
        <v>417.78325454251762</v>
      </c>
      <c r="L41">
        <v>1.924008233148186</v>
      </c>
      <c r="N41" s="1">
        <f t="shared" si="0"/>
        <v>8371.0558371421248</v>
      </c>
    </row>
    <row r="42" spans="1:14">
      <c r="A42">
        <v>154.80836893347839</v>
      </c>
      <c r="B42">
        <v>417.78325409609721</v>
      </c>
      <c r="C42">
        <v>1.9876403054719991</v>
      </c>
      <c r="D42">
        <v>154.2191590298327</v>
      </c>
      <c r="E42">
        <v>417.78325409609721</v>
      </c>
      <c r="F42">
        <v>1.993836652320724</v>
      </c>
      <c r="G42">
        <v>154.2191590298327</v>
      </c>
      <c r="H42">
        <v>417.78325409609721</v>
      </c>
      <c r="I42">
        <v>1.993836652320724</v>
      </c>
      <c r="J42">
        <v>168.33877340732991</v>
      </c>
      <c r="K42">
        <v>417.78325409609721</v>
      </c>
      <c r="L42">
        <v>1.8475862630700179</v>
      </c>
      <c r="N42" s="1">
        <f t="shared" si="0"/>
        <v>8042.1320735183417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Q43"/>
  <sheetViews>
    <sheetView topLeftCell="K1" zoomScale="125" workbookViewId="0">
      <selection activeCell="P3" sqref="P3"/>
    </sheetView>
  </sheetViews>
  <sheetFormatPr baseColWidth="10" defaultColWidth="26.1640625" defaultRowHeight="16"/>
  <cols>
    <col min="1" max="2" width="26.1640625" style="1"/>
    <col min="5" max="16384" width="26.1640625" style="1"/>
  </cols>
  <sheetData>
    <row r="1" spans="1:17">
      <c r="A1" s="22" t="s">
        <v>1</v>
      </c>
      <c r="B1" s="22"/>
      <c r="C1" s="22"/>
      <c r="D1" s="22"/>
      <c r="E1" s="22"/>
      <c r="F1" s="22"/>
      <c r="H1" s="22" t="s">
        <v>0</v>
      </c>
      <c r="I1" s="22"/>
      <c r="J1" s="22"/>
      <c r="K1" s="22"/>
      <c r="L1" s="22"/>
      <c r="M1" s="22"/>
    </row>
    <row r="2" spans="1:17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O2" s="1" t="s">
        <v>43</v>
      </c>
    </row>
    <row r="3" spans="1:17">
      <c r="A3">
        <v>416.71665774793968</v>
      </c>
      <c r="B3">
        <v>416.71616545329988</v>
      </c>
      <c r="D3">
        <v>416.71665774793968</v>
      </c>
      <c r="E3">
        <v>416.71616545329988</v>
      </c>
      <c r="F3"/>
      <c r="H3">
        <v>412.42256817496451</v>
      </c>
      <c r="I3">
        <v>412.45920139910947</v>
      </c>
      <c r="J3"/>
      <c r="K3">
        <v>412.42256817496451</v>
      </c>
      <c r="L3">
        <v>412.45920139910947</v>
      </c>
      <c r="M3"/>
      <c r="Q3" s="10" t="s">
        <v>2</v>
      </c>
    </row>
    <row r="4" spans="1:17">
      <c r="A4">
        <v>357.8210322969839</v>
      </c>
      <c r="B4">
        <v>416.71616226455973</v>
      </c>
      <c r="C4">
        <v>58.895622262215738</v>
      </c>
      <c r="D4">
        <v>350.81187840059602</v>
      </c>
      <c r="E4">
        <v>416.71616226455973</v>
      </c>
      <c r="F4">
        <v>65.904776158603596</v>
      </c>
      <c r="H4">
        <v>354.27590894171209</v>
      </c>
      <c r="I4">
        <v>412.45919825357822</v>
      </c>
      <c r="J4">
        <v>58.146656087721077</v>
      </c>
      <c r="K4">
        <v>347.26629860743873</v>
      </c>
      <c r="L4">
        <v>412.45919825357822</v>
      </c>
      <c r="M4">
        <v>65.156266421994474</v>
      </c>
      <c r="O4" s="1">
        <f>(0.5*(C4*0.6 + F4*0.34) + 0.5*(J4*0.6 + M4*0.34))*$Q$4</f>
        <v>293852.47100765549</v>
      </c>
      <c r="Q4" s="2">
        <v>5120</v>
      </c>
    </row>
    <row r="5" spans="1:17">
      <c r="A5">
        <v>326.86955697169179</v>
      </c>
      <c r="B5">
        <v>416.71615936026672</v>
      </c>
      <c r="C5">
        <v>30.951472420998879</v>
      </c>
      <c r="D5">
        <v>316.14603336012573</v>
      </c>
      <c r="E5">
        <v>416.71615936026672</v>
      </c>
      <c r="F5">
        <v>34.66584213617714</v>
      </c>
      <c r="G5" s="2"/>
      <c r="H5">
        <v>323.71741603897578</v>
      </c>
      <c r="I5">
        <v>412.45919538871868</v>
      </c>
      <c r="J5">
        <v>30.558490037876751</v>
      </c>
      <c r="K5">
        <v>312.99313794244563</v>
      </c>
      <c r="L5">
        <v>412.45919538871868</v>
      </c>
      <c r="M5">
        <v>34.273157800133568</v>
      </c>
      <c r="O5" s="1">
        <f t="shared" ref="O5:O43" si="0">(0.5*(C5*0.6 + F5*0.34) + 0.5*(J5*0.6 + M5*0.34))*$Q$4</f>
        <v>154483.80788139781</v>
      </c>
    </row>
    <row r="6" spans="1:17">
      <c r="A6">
        <v>307.42797602697527</v>
      </c>
      <c r="B6">
        <v>416.71615671504679</v>
      </c>
      <c r="C6">
        <v>19.441578299496769</v>
      </c>
      <c r="D6">
        <v>294.32299052688751</v>
      </c>
      <c r="E6">
        <v>416.71615671504679</v>
      </c>
      <c r="F6">
        <v>21.823040188018439</v>
      </c>
      <c r="H6">
        <v>304.5229995041359</v>
      </c>
      <c r="I6">
        <v>412.45919277948661</v>
      </c>
      <c r="J6">
        <v>19.194413925607819</v>
      </c>
      <c r="K6">
        <v>291.41714069087379</v>
      </c>
      <c r="L6">
        <v>412.45919277948661</v>
      </c>
      <c r="M6">
        <v>21.575994642339701</v>
      </c>
      <c r="O6" s="1">
        <f t="shared" si="0"/>
        <v>97119.403974104367</v>
      </c>
      <c r="Q6" s="6"/>
    </row>
    <row r="7" spans="1:17">
      <c r="A7">
        <v>294.13742272955898</v>
      </c>
      <c r="B7">
        <v>416.71615430578998</v>
      </c>
      <c r="C7">
        <v>13.290550888159389</v>
      </c>
      <c r="D7">
        <v>279.34519557834642</v>
      </c>
      <c r="E7">
        <v>416.71615430578998</v>
      </c>
      <c r="F7">
        <v>14.97779253928425</v>
      </c>
      <c r="H7">
        <v>291.40203652690542</v>
      </c>
      <c r="I7">
        <v>412.45919040307308</v>
      </c>
      <c r="J7">
        <v>13.120960600817041</v>
      </c>
      <c r="K7">
        <v>276.60897243898921</v>
      </c>
      <c r="L7">
        <v>412.45919040307308</v>
      </c>
      <c r="M7">
        <v>14.80816587547114</v>
      </c>
      <c r="O7" s="1">
        <f t="shared" si="0"/>
        <v>66493.779851270898</v>
      </c>
      <c r="Q7" s="12"/>
    </row>
    <row r="8" spans="1:17">
      <c r="A8">
        <v>284.22364962389918</v>
      </c>
      <c r="B8">
        <v>416.71615211144763</v>
      </c>
      <c r="C8">
        <v>9.9137709113173766</v>
      </c>
      <c r="D8">
        <v>268.11010748374952</v>
      </c>
      <c r="E8">
        <v>416.71615211144763</v>
      </c>
      <c r="F8">
        <v>11.235085900254409</v>
      </c>
      <c r="H8">
        <v>281.61556771027159</v>
      </c>
      <c r="I8">
        <v>412.45918823870352</v>
      </c>
      <c r="J8">
        <v>9.7864666522641333</v>
      </c>
      <c r="K8">
        <v>265.50136448938542</v>
      </c>
      <c r="L8">
        <v>412.45918823870352</v>
      </c>
      <c r="M8">
        <v>11.10760578523421</v>
      </c>
      <c r="O8" s="1">
        <f t="shared" si="0"/>
        <v>49706.643740710497</v>
      </c>
    </row>
    <row r="9" spans="1:17">
      <c r="A9">
        <v>276.23311809961592</v>
      </c>
      <c r="B9">
        <v>416.71615011284831</v>
      </c>
      <c r="C9">
        <v>7.9905295256840816</v>
      </c>
      <c r="D9">
        <v>258.99417448006949</v>
      </c>
      <c r="E9">
        <v>416.71615011284831</v>
      </c>
      <c r="F9">
        <v>9.1159310050807623</v>
      </c>
      <c r="H9">
        <v>273.7285073150951</v>
      </c>
      <c r="I9">
        <v>412.45918626745788</v>
      </c>
      <c r="J9">
        <v>7.8870584239310277</v>
      </c>
      <c r="K9">
        <v>256.48920662146583</v>
      </c>
      <c r="L9">
        <v>412.45918626745788</v>
      </c>
      <c r="M9">
        <v>9.012155896673983</v>
      </c>
      <c r="O9" s="1">
        <f t="shared" si="0"/>
        <v>40166.661929896138</v>
      </c>
    </row>
    <row r="10" spans="1:17">
      <c r="A10">
        <v>269.39657775485199</v>
      </c>
      <c r="B10">
        <v>416.71614829253127</v>
      </c>
      <c r="C10">
        <v>6.8365385244468229</v>
      </c>
      <c r="D10">
        <v>251.13984677415149</v>
      </c>
      <c r="E10">
        <v>416.71614829253127</v>
      </c>
      <c r="F10">
        <v>7.8543258856010043</v>
      </c>
      <c r="H10">
        <v>266.98133890345821</v>
      </c>
      <c r="I10">
        <v>412.45918447210403</v>
      </c>
      <c r="J10">
        <v>6.7471666162830388</v>
      </c>
      <c r="K10">
        <v>248.7246741043075</v>
      </c>
      <c r="L10">
        <v>412.45918447210403</v>
      </c>
      <c r="M10">
        <v>7.7645307218044914</v>
      </c>
      <c r="O10" s="1">
        <f t="shared" si="0"/>
        <v>34459.223887246808</v>
      </c>
    </row>
    <row r="11" spans="1:17">
      <c r="A11">
        <v>263.30231853755748</v>
      </c>
      <c r="B11">
        <v>416.71614663459297</v>
      </c>
      <c r="C11">
        <v>6.0942575593563317</v>
      </c>
      <c r="D11">
        <v>244.08958646389451</v>
      </c>
      <c r="E11">
        <v>416.71614663459297</v>
      </c>
      <c r="F11">
        <v>7.0502586523187416</v>
      </c>
      <c r="H11">
        <v>260.96753403682402</v>
      </c>
      <c r="I11">
        <v>412.45918283694698</v>
      </c>
      <c r="J11">
        <v>6.0138032314770804</v>
      </c>
      <c r="K11">
        <v>241.75540317112089</v>
      </c>
      <c r="L11">
        <v>412.45918283694698</v>
      </c>
      <c r="M11">
        <v>6.9692692980295021</v>
      </c>
      <c r="O11" s="1">
        <f t="shared" si="0"/>
        <v>30800.578502703233</v>
      </c>
    </row>
    <row r="12" spans="1:17">
      <c r="A12">
        <v>257.7264799297763</v>
      </c>
      <c r="B12">
        <v>416.71614512454892</v>
      </c>
      <c r="C12">
        <v>5.5758370977369607</v>
      </c>
      <c r="D12">
        <v>237.59585173987719</v>
      </c>
      <c r="E12">
        <v>416.71614512454892</v>
      </c>
      <c r="F12">
        <v>6.4937332139731394</v>
      </c>
      <c r="H12">
        <v>255.46602484552679</v>
      </c>
      <c r="I12">
        <v>412.459181347693</v>
      </c>
      <c r="J12">
        <v>5.5015077020431464</v>
      </c>
      <c r="K12">
        <v>235.3366380663781</v>
      </c>
      <c r="L12">
        <v>412.459181347693</v>
      </c>
      <c r="M12">
        <v>6.4187636154887846</v>
      </c>
      <c r="O12" s="1">
        <f t="shared" si="0"/>
        <v>28253.838852825902</v>
      </c>
    </row>
    <row r="13" spans="1:17">
      <c r="A13">
        <v>252.5443342103936</v>
      </c>
      <c r="B13">
        <v>416.71614374920608</v>
      </c>
      <c r="C13">
        <v>5.1821443440400019</v>
      </c>
      <c r="D13">
        <v>231.52179076626101</v>
      </c>
      <c r="E13">
        <v>416.71614374920608</v>
      </c>
      <c r="F13">
        <v>6.0740595982734504</v>
      </c>
      <c r="H13">
        <v>250.35361794585731</v>
      </c>
      <c r="I13">
        <v>412.45917999132303</v>
      </c>
      <c r="J13">
        <v>5.112405543299535</v>
      </c>
      <c r="K13">
        <v>229.33305527379471</v>
      </c>
      <c r="L13">
        <v>412.45917999132303</v>
      </c>
      <c r="M13">
        <v>6.0035814362134046</v>
      </c>
      <c r="O13" s="1">
        <f t="shared" si="0"/>
        <v>26324.807383370891</v>
      </c>
    </row>
    <row r="14" spans="1:17">
      <c r="A14">
        <v>247.6837187973068</v>
      </c>
      <c r="B14">
        <v>416.71614249654863</v>
      </c>
      <c r="C14">
        <v>4.8606141604292832</v>
      </c>
      <c r="D14">
        <v>225.78913941149759</v>
      </c>
      <c r="E14">
        <v>416.71614249654863</v>
      </c>
      <c r="F14">
        <v>5.7326501021059952</v>
      </c>
      <c r="H14">
        <v>245.55901995079091</v>
      </c>
      <c r="I14">
        <v>412.45917875598019</v>
      </c>
      <c r="J14">
        <v>4.7945967597234942</v>
      </c>
      <c r="K14">
        <v>223.66725423378051</v>
      </c>
      <c r="L14">
        <v>412.45917875598019</v>
      </c>
      <c r="M14">
        <v>5.6657998046713658</v>
      </c>
      <c r="O14" s="1">
        <f t="shared" si="0"/>
        <v>24751.614772213681</v>
      </c>
    </row>
    <row r="15" spans="1:17">
      <c r="A15">
        <v>243.10052923970389</v>
      </c>
      <c r="B15">
        <v>416.7161413556326</v>
      </c>
      <c r="C15">
        <v>4.5831884166868662</v>
      </c>
      <c r="D15">
        <v>220.35081722455351</v>
      </c>
      <c r="E15">
        <v>416.7161413556326</v>
      </c>
      <c r="F15">
        <v>5.4383210460280056</v>
      </c>
      <c r="H15">
        <v>241.03864238384901</v>
      </c>
      <c r="I15">
        <v>412.45917763086533</v>
      </c>
      <c r="J15">
        <v>4.5203764418271293</v>
      </c>
      <c r="K15">
        <v>218.29266513180781</v>
      </c>
      <c r="L15">
        <v>412.45917763086533</v>
      </c>
      <c r="M15">
        <v>5.3745879768578666</v>
      </c>
      <c r="O15" s="1">
        <f t="shared" si="0"/>
        <v>23394.631636197359</v>
      </c>
    </row>
    <row r="16" spans="1:17">
      <c r="A16">
        <v>238.7657955054143</v>
      </c>
      <c r="B16">
        <v>416.71614031649051</v>
      </c>
      <c r="C16">
        <v>4.3347326951474754</v>
      </c>
      <c r="D16">
        <v>215.1764868429656</v>
      </c>
      <c r="E16">
        <v>416.71614031649051</v>
      </c>
      <c r="F16">
        <v>5.1743293424457706</v>
      </c>
      <c r="H16">
        <v>236.76384226764731</v>
      </c>
      <c r="I16">
        <v>412.45917660614282</v>
      </c>
      <c r="J16">
        <v>4.2747990914790526</v>
      </c>
      <c r="K16">
        <v>213.17927254172699</v>
      </c>
      <c r="L16">
        <v>412.45917660614282</v>
      </c>
      <c r="M16">
        <v>5.1133915653581186</v>
      </c>
      <c r="O16" s="1">
        <f t="shared" si="0"/>
        <v>22178.673102410852</v>
      </c>
    </row>
    <row r="17" spans="1:15">
      <c r="A17">
        <v>234.65885193890159</v>
      </c>
      <c r="B17">
        <v>416.71613937004349</v>
      </c>
      <c r="C17">
        <v>4.1069426200657331</v>
      </c>
      <c r="D17">
        <v>210.24493032037859</v>
      </c>
      <c r="E17">
        <v>416.71613937004349</v>
      </c>
      <c r="F17">
        <v>4.9315555761400391</v>
      </c>
      <c r="H17">
        <v>232.71417876019959</v>
      </c>
      <c r="I17">
        <v>412.45917567285483</v>
      </c>
      <c r="J17">
        <v>4.0496625741597967</v>
      </c>
      <c r="K17">
        <v>208.30607839226761</v>
      </c>
      <c r="L17">
        <v>412.45917567285483</v>
      </c>
      <c r="M17">
        <v>4.873193216171515</v>
      </c>
      <c r="O17" s="1">
        <f t="shared" si="0"/>
        <v>21062.598927158389</v>
      </c>
    </row>
    <row r="18" spans="1:15">
      <c r="A18">
        <v>230.7637170252755</v>
      </c>
      <c r="B18">
        <v>416.71613850802282</v>
      </c>
      <c r="C18">
        <v>3.8951340516053459</v>
      </c>
      <c r="D18">
        <v>205.5400145462537</v>
      </c>
      <c r="E18">
        <v>416.71613850802282</v>
      </c>
      <c r="F18">
        <v>4.7049149121041056</v>
      </c>
      <c r="H18">
        <v>228.87383873451591</v>
      </c>
      <c r="I18">
        <v>412.45917482284278</v>
      </c>
      <c r="J18">
        <v>3.8403391756717351</v>
      </c>
      <c r="K18">
        <v>203.6571131792326</v>
      </c>
      <c r="L18">
        <v>412.45917482284278</v>
      </c>
      <c r="M18">
        <v>4.648964363023012</v>
      </c>
      <c r="O18" s="1">
        <f t="shared" si="0"/>
        <v>20023.303398168242</v>
      </c>
    </row>
    <row r="19" spans="1:15">
      <c r="A19">
        <v>227.0671656339193</v>
      </c>
      <c r="B19">
        <v>416.71613772289737</v>
      </c>
      <c r="C19">
        <v>3.6965506062308982</v>
      </c>
      <c r="D19">
        <v>201.04854808469639</v>
      </c>
      <c r="E19">
        <v>416.71613772289737</v>
      </c>
      <c r="F19">
        <v>4.4914656764319787</v>
      </c>
      <c r="H19">
        <v>225.22973330874879</v>
      </c>
      <c r="I19">
        <v>412.45917404867652</v>
      </c>
      <c r="J19">
        <v>3.644104651600804</v>
      </c>
      <c r="K19">
        <v>199.2193170775808</v>
      </c>
      <c r="L19">
        <v>412.45917404867652</v>
      </c>
      <c r="M19">
        <v>4.4377953274855271</v>
      </c>
      <c r="O19" s="1">
        <f t="shared" si="0"/>
        <v>19047.275253839292</v>
      </c>
    </row>
    <row r="20" spans="1:15">
      <c r="A20">
        <v>223.55769464121289</v>
      </c>
      <c r="B20">
        <v>416.7161370078083</v>
      </c>
      <c r="C20">
        <v>3.5094702776171709</v>
      </c>
      <c r="D20">
        <v>196.75913570265379</v>
      </c>
      <c r="E20">
        <v>416.7161370078083</v>
      </c>
      <c r="F20">
        <v>4.2894116669534013</v>
      </c>
      <c r="H20">
        <v>221.77047640383739</v>
      </c>
      <c r="I20">
        <v>412.45917334358779</v>
      </c>
      <c r="J20">
        <v>3.459256199822681</v>
      </c>
      <c r="K20">
        <v>194.98140739713301</v>
      </c>
      <c r="L20">
        <v>412.45917334358779</v>
      </c>
      <c r="M20">
        <v>4.237908975359109</v>
      </c>
      <c r="O20" s="1">
        <f t="shared" si="0"/>
        <v>18126.143756416423</v>
      </c>
    </row>
    <row r="21" spans="1:15">
      <c r="A21">
        <v>220.2249608035178</v>
      </c>
      <c r="B21">
        <v>416.7161363565076</v>
      </c>
      <c r="C21">
        <v>3.33273318639454</v>
      </c>
      <c r="D21">
        <v>192.66155978733161</v>
      </c>
      <c r="E21">
        <v>416.7161363565076</v>
      </c>
      <c r="F21">
        <v>4.0975752640216534</v>
      </c>
      <c r="H21">
        <v>218.48582956054261</v>
      </c>
      <c r="I21">
        <v>412.45917270141348</v>
      </c>
      <c r="J21">
        <v>3.2846462011204949</v>
      </c>
      <c r="K21">
        <v>190.93326694002849</v>
      </c>
      <c r="L21">
        <v>412.45917270141348</v>
      </c>
      <c r="M21">
        <v>4.0481398149300771</v>
      </c>
      <c r="O21" s="1">
        <f t="shared" si="0"/>
        <v>17254.325143942679</v>
      </c>
    </row>
    <row r="22" spans="1:15">
      <c r="A22">
        <v>217.0594688189303</v>
      </c>
      <c r="B22">
        <v>416.71613576330549</v>
      </c>
      <c r="C22">
        <v>3.1654913913853542</v>
      </c>
      <c r="D22">
        <v>188.74644051569931</v>
      </c>
      <c r="E22">
        <v>416.71613576330549</v>
      </c>
      <c r="F22">
        <v>3.9151186784301828</v>
      </c>
      <c r="H22">
        <v>215.36639377929211</v>
      </c>
      <c r="I22">
        <v>412.45917211653938</v>
      </c>
      <c r="J22">
        <v>3.1194351963764291</v>
      </c>
      <c r="K22">
        <v>187.06560794622521</v>
      </c>
      <c r="L22">
        <v>412.45917211653938</v>
      </c>
      <c r="M22">
        <v>3.867658408929278</v>
      </c>
      <c r="O22" s="1">
        <f t="shared" si="0"/>
        <v>16427.776415639775</v>
      </c>
    </row>
    <row r="23" spans="1:15">
      <c r="A23">
        <v>214.05239241431661</v>
      </c>
      <c r="B23">
        <v>416.71613522301891</v>
      </c>
      <c r="C23">
        <v>3.0070758643270761</v>
      </c>
      <c r="D23">
        <v>185.00504392577389</v>
      </c>
      <c r="E23">
        <v>416.71613522301891</v>
      </c>
      <c r="F23">
        <v>3.7413960496386638</v>
      </c>
      <c r="H23">
        <v>212.40343270863369</v>
      </c>
      <c r="I23">
        <v>412.45917158385288</v>
      </c>
      <c r="J23">
        <v>2.9629605379718811</v>
      </c>
      <c r="K23">
        <v>183.36978226511809</v>
      </c>
      <c r="L23">
        <v>412.45917158385288</v>
      </c>
      <c r="M23">
        <v>3.6958251484206621</v>
      </c>
      <c r="O23" s="1">
        <f t="shared" si="0"/>
        <v>15643.333244722035</v>
      </c>
    </row>
    <row r="24" spans="1:15">
      <c r="A24">
        <v>211.1954665914397</v>
      </c>
      <c r="B24">
        <v>416.71613473092748</v>
      </c>
      <c r="C24">
        <v>2.8569253307855531</v>
      </c>
      <c r="D24">
        <v>181.42916884280061</v>
      </c>
      <c r="E24">
        <v>416.71613473092748</v>
      </c>
      <c r="F24">
        <v>3.575874590882028</v>
      </c>
      <c r="H24">
        <v>209.58876610165061</v>
      </c>
      <c r="I24">
        <v>412.45917109869742</v>
      </c>
      <c r="J24">
        <v>2.8146661218275568</v>
      </c>
      <c r="K24">
        <v>179.8376694914121</v>
      </c>
      <c r="L24">
        <v>412.45917109869742</v>
      </c>
      <c r="M24">
        <v>3.5321122885504028</v>
      </c>
      <c r="O24" s="1">
        <f t="shared" si="0"/>
        <v>14898.356251071726</v>
      </c>
    </row>
    <row r="25" spans="1:15">
      <c r="A25">
        <v>208.48091832626551</v>
      </c>
      <c r="B25">
        <v>416.71613428273281</v>
      </c>
      <c r="C25">
        <v>2.7145478169795059</v>
      </c>
      <c r="D25">
        <v>178.01107619079329</v>
      </c>
      <c r="E25">
        <v>416.71613428273281</v>
      </c>
      <c r="F25">
        <v>3.4180922038125678</v>
      </c>
      <c r="H25">
        <v>206.9147012490717</v>
      </c>
      <c r="I25">
        <v>412.45917065683142</v>
      </c>
      <c r="J25">
        <v>2.6740644107128819</v>
      </c>
      <c r="K25">
        <v>176.4616070100499</v>
      </c>
      <c r="L25">
        <v>412.45917065683142</v>
      </c>
      <c r="M25">
        <v>3.3760620394962242</v>
      </c>
      <c r="O25" s="1">
        <f t="shared" si="0"/>
        <v>14190.540235111479</v>
      </c>
    </row>
    <row r="26" spans="1:15">
      <c r="A26">
        <v>205.90141839858569</v>
      </c>
      <c r="B26">
        <v>416.71613387451868</v>
      </c>
      <c r="C26">
        <v>2.5794995194656329</v>
      </c>
      <c r="D26">
        <v>174.7434413975393</v>
      </c>
      <c r="E26">
        <v>416.71613387451868</v>
      </c>
      <c r="F26">
        <v>3.267634385039917</v>
      </c>
      <c r="H26">
        <v>204.37398528533529</v>
      </c>
      <c r="I26">
        <v>412.45917025439257</v>
      </c>
      <c r="J26">
        <v>2.54071556129764</v>
      </c>
      <c r="K26">
        <v>173.2343428772391</v>
      </c>
      <c r="L26">
        <v>412.45917025439257</v>
      </c>
      <c r="M26">
        <v>3.2272637303720249</v>
      </c>
      <c r="O26" s="1">
        <f t="shared" si="0"/>
        <v>13517.809683706942</v>
      </c>
    </row>
    <row r="27" spans="1:15">
      <c r="A27">
        <v>203.4500451481282</v>
      </c>
      <c r="B27">
        <v>416.71613350271849</v>
      </c>
      <c r="C27">
        <v>2.4513728786574278</v>
      </c>
      <c r="D27">
        <v>171.61931966246209</v>
      </c>
      <c r="E27">
        <v>416.71613350271849</v>
      </c>
      <c r="F27">
        <v>3.1241213632770362</v>
      </c>
      <c r="H27">
        <v>201.95976927976599</v>
      </c>
      <c r="I27">
        <v>412.45916988786303</v>
      </c>
      <c r="J27">
        <v>2.4142156390396772</v>
      </c>
      <c r="K27">
        <v>170.14900142287479</v>
      </c>
      <c r="L27">
        <v>412.45916988786303</v>
      </c>
      <c r="M27">
        <v>3.0853410878346539</v>
      </c>
      <c r="O27" s="1">
        <f t="shared" si="0"/>
        <v>12878.260080630369</v>
      </c>
    </row>
    <row r="28" spans="1:15">
      <c r="A28">
        <v>201.1202552414602</v>
      </c>
      <c r="B28">
        <v>416.71613316408428</v>
      </c>
      <c r="C28">
        <v>2.3297895680337719</v>
      </c>
      <c r="D28">
        <v>168.63211863937141</v>
      </c>
      <c r="E28">
        <v>416.71613316408428</v>
      </c>
      <c r="F28">
        <v>2.9872006844564489</v>
      </c>
      <c r="H28">
        <v>199.6655792587737</v>
      </c>
      <c r="I28">
        <v>412.45916955403811</v>
      </c>
      <c r="J28">
        <v>2.2941896871674459</v>
      </c>
      <c r="K28">
        <v>167.19905618792981</v>
      </c>
      <c r="L28">
        <v>412.45916955403811</v>
      </c>
      <c r="M28">
        <v>2.9499449011201708</v>
      </c>
      <c r="O28" s="1">
        <f t="shared" si="0"/>
        <v>12270.123653674962</v>
      </c>
    </row>
    <row r="29" spans="1:15">
      <c r="A29">
        <v>198.90585880129461</v>
      </c>
      <c r="B29">
        <v>416.71613285565752</v>
      </c>
      <c r="C29">
        <v>2.214396131738722</v>
      </c>
      <c r="D29">
        <v>165.77557561267039</v>
      </c>
      <c r="E29">
        <v>416.71613285565752</v>
      </c>
      <c r="F29">
        <v>2.8565427182741132</v>
      </c>
      <c r="H29">
        <v>197.48529154355191</v>
      </c>
      <c r="I29">
        <v>412.45916925000029</v>
      </c>
      <c r="J29">
        <v>2.1802874111840351</v>
      </c>
      <c r="K29">
        <v>164.37830730823339</v>
      </c>
      <c r="L29">
        <v>412.45916925000029</v>
      </c>
      <c r="M29">
        <v>2.8207485756585751</v>
      </c>
      <c r="O29" s="1">
        <f t="shared" si="0"/>
        <v>11691.748264168367</v>
      </c>
    </row>
    <row r="30" spans="1:15">
      <c r="A30">
        <v>196.8009974507182</v>
      </c>
      <c r="B30">
        <v>416.71613257474343</v>
      </c>
      <c r="C30">
        <v>2.1048610696623058</v>
      </c>
      <c r="D30">
        <v>163.04373758217929</v>
      </c>
      <c r="E30">
        <v>416.71613257474343</v>
      </c>
      <c r="F30">
        <v>2.7318377495771342</v>
      </c>
      <c r="H30">
        <v>195.41311097349049</v>
      </c>
      <c r="I30">
        <v>412.45916897309121</v>
      </c>
      <c r="J30">
        <v>2.0721802931522859</v>
      </c>
      <c r="K30">
        <v>161.68086177748381</v>
      </c>
      <c r="L30">
        <v>412.45916897309121</v>
      </c>
      <c r="M30">
        <v>2.6974452538404372</v>
      </c>
      <c r="O30" s="1">
        <f t="shared" si="0"/>
        <v>11141.583459457866</v>
      </c>
    </row>
    <row r="31" spans="1:15">
      <c r="A31">
        <v>194.80012446280529</v>
      </c>
      <c r="B31">
        <v>416.71613231888767</v>
      </c>
      <c r="C31">
        <v>2.0008727320571991</v>
      </c>
      <c r="D31">
        <v>160.43094338045421</v>
      </c>
      <c r="E31">
        <v>416.71613231888767</v>
      </c>
      <c r="F31">
        <v>2.6127939458693561</v>
      </c>
      <c r="H31">
        <v>193.44355121542671</v>
      </c>
      <c r="I31">
        <v>412.4591687208902</v>
      </c>
      <c r="J31">
        <v>1.9695595058627999</v>
      </c>
      <c r="K31">
        <v>159.1011157230335</v>
      </c>
      <c r="L31">
        <v>412.4591687208902</v>
      </c>
      <c r="M31">
        <v>2.579745802249386</v>
      </c>
      <c r="O31" s="1">
        <f t="shared" si="0"/>
        <v>10618.170514207672</v>
      </c>
    </row>
    <row r="32" spans="1:15">
      <c r="A32">
        <v>192.8979865466064</v>
      </c>
      <c r="B32">
        <v>416.71613208585552</v>
      </c>
      <c r="C32">
        <v>1.9021376831666621</v>
      </c>
      <c r="D32">
        <v>157.93180732372659</v>
      </c>
      <c r="E32">
        <v>416.71613208585552</v>
      </c>
      <c r="F32">
        <v>2.4991358236953212</v>
      </c>
      <c r="H32">
        <v>191.5714166951168</v>
      </c>
      <c r="I32">
        <v>412.45916849119288</v>
      </c>
      <c r="J32">
        <v>1.8721342906126159</v>
      </c>
      <c r="K32">
        <v>156.6337382009734</v>
      </c>
      <c r="L32">
        <v>412.45916849119288</v>
      </c>
      <c r="M32">
        <v>2.4673772923628312</v>
      </c>
      <c r="O32" s="1">
        <f t="shared" si="0"/>
        <v>10120.134767941989</v>
      </c>
    </row>
    <row r="33" spans="1:15">
      <c r="A33">
        <v>191.08960698373559</v>
      </c>
      <c r="B33">
        <v>416.71613187361049</v>
      </c>
      <c r="C33">
        <v>1.8083793506259029</v>
      </c>
      <c r="D33">
        <v>155.5412040996828</v>
      </c>
      <c r="E33">
        <v>416.71613187361049</v>
      </c>
      <c r="F33">
        <v>2.3906030117989538</v>
      </c>
      <c r="H33">
        <v>189.79178586827089</v>
      </c>
      <c r="I33">
        <v>412.45916828199103</v>
      </c>
      <c r="J33">
        <v>1.779630617643974</v>
      </c>
      <c r="K33">
        <v>154.27365621686329</v>
      </c>
      <c r="L33">
        <v>412.45916828199103</v>
      </c>
      <c r="M33">
        <v>2.3600817749081719</v>
      </c>
      <c r="O33" s="1">
        <f t="shared" si="0"/>
        <v>9646.1793496124137</v>
      </c>
    </row>
    <row r="34" spans="1:15">
      <c r="A34">
        <v>189.3702699296777</v>
      </c>
      <c r="B34">
        <v>416.71613168029847</v>
      </c>
      <c r="C34">
        <v>1.719336860745831</v>
      </c>
      <c r="D34">
        <v>153.25425470472541</v>
      </c>
      <c r="E34">
        <v>416.71613168029847</v>
      </c>
      <c r="F34">
        <v>2.2869492016452759</v>
      </c>
      <c r="H34">
        <v>188.0999956471718</v>
      </c>
      <c r="I34">
        <v>412.45916809145609</v>
      </c>
      <c r="J34">
        <v>1.691790030564178</v>
      </c>
      <c r="K34">
        <v>152.01604078665841</v>
      </c>
      <c r="L34">
        <v>412.45916809145609</v>
      </c>
      <c r="M34">
        <v>2.2576152396698892</v>
      </c>
      <c r="O34" s="1">
        <f t="shared" si="0"/>
        <v>9195.0797947728934</v>
      </c>
    </row>
    <row r="35" spans="1:15">
      <c r="A35">
        <v>187.73550574956761</v>
      </c>
      <c r="B35">
        <v>416.71613150423082</v>
      </c>
      <c r="C35">
        <v>1.6347640040423199</v>
      </c>
      <c r="D35">
        <v>151.0663133036289</v>
      </c>
      <c r="E35">
        <v>416.71613150423082</v>
      </c>
      <c r="F35">
        <v>2.1879412250288039</v>
      </c>
      <c r="H35">
        <v>186.49162685385991</v>
      </c>
      <c r="I35">
        <v>412.45916791792212</v>
      </c>
      <c r="J35">
        <v>1.608368619777901</v>
      </c>
      <c r="K35">
        <v>149.85629391198469</v>
      </c>
      <c r="L35">
        <v>412.45916791792212</v>
      </c>
      <c r="M35">
        <v>2.159746701139738</v>
      </c>
      <c r="O35" s="1">
        <f t="shared" si="0"/>
        <v>8765.6792811249579</v>
      </c>
    </row>
    <row r="36" spans="1:15">
      <c r="A36">
        <v>186.1810772901766</v>
      </c>
      <c r="B36">
        <v>416.71613134386871</v>
      </c>
      <c r="C36">
        <v>1.554428299028989</v>
      </c>
      <c r="D36">
        <v>148.9729549186053</v>
      </c>
      <c r="E36">
        <v>416.71613134386871</v>
      </c>
      <c r="F36">
        <v>2.0933582246615101</v>
      </c>
      <c r="H36">
        <v>184.96249060248061</v>
      </c>
      <c r="I36">
        <v>412.45916775987251</v>
      </c>
      <c r="J36">
        <v>1.529136093329664</v>
      </c>
      <c r="K36">
        <v>147.7900363776543</v>
      </c>
      <c r="L36">
        <v>412.45916775987251</v>
      </c>
      <c r="M36">
        <v>2.066257376280817</v>
      </c>
      <c r="O36" s="1">
        <f t="shared" si="0"/>
        <v>8356.8843257230928</v>
      </c>
    </row>
    <row r="37" spans="1:15">
      <c r="A37">
        <v>184.70296700911069</v>
      </c>
      <c r="B37">
        <v>416.71613119781148</v>
      </c>
      <c r="C37">
        <v>1.4781101350087671</v>
      </c>
      <c r="D37">
        <v>146.96996387489261</v>
      </c>
      <c r="E37">
        <v>416.71613119781148</v>
      </c>
      <c r="F37">
        <v>2.002990897655593</v>
      </c>
      <c r="H37">
        <v>183.50861553245051</v>
      </c>
      <c r="I37">
        <v>412.45916761592571</v>
      </c>
      <c r="J37">
        <v>1.453874926083226</v>
      </c>
      <c r="K37">
        <v>145.81309629919269</v>
      </c>
      <c r="L37">
        <v>412.45916761592571</v>
      </c>
      <c r="M37">
        <v>1.9769399345147789</v>
      </c>
      <c r="O37" s="1">
        <f t="shared" si="0"/>
        <v>7967.6608501583923</v>
      </c>
    </row>
    <row r="38" spans="1:15">
      <c r="A38">
        <v>183.29736489456729</v>
      </c>
      <c r="B38">
        <v>416.71613106478321</v>
      </c>
      <c r="C38">
        <v>1.405601981515008</v>
      </c>
      <c r="D38">
        <v>145.0533229424797</v>
      </c>
      <c r="E38">
        <v>416.71613106478321</v>
      </c>
      <c r="F38">
        <v>1.916640799384463</v>
      </c>
      <c r="H38">
        <v>182.12623582630991</v>
      </c>
      <c r="I38">
        <v>412.45916748482301</v>
      </c>
      <c r="J38">
        <v>1.3823795750381009</v>
      </c>
      <c r="K38">
        <v>143.92149836052491</v>
      </c>
      <c r="L38">
        <v>412.45916748482301</v>
      </c>
      <c r="M38">
        <v>1.891597807565224</v>
      </c>
      <c r="O38" s="1">
        <f t="shared" si="0"/>
        <v>7597.0305543545828</v>
      </c>
    </row>
    <row r="39" spans="1:15">
      <c r="A39">
        <v>181.96065711747619</v>
      </c>
      <c r="B39">
        <v>416.71613094362141</v>
      </c>
      <c r="C39">
        <v>1.336707655929378</v>
      </c>
      <c r="D39">
        <v>143.21920312191881</v>
      </c>
      <c r="E39">
        <v>416.71613094362141</v>
      </c>
      <c r="F39">
        <v>1.8341196993991771</v>
      </c>
      <c r="H39">
        <v>180.81177995452779</v>
      </c>
      <c r="I39">
        <v>412.45916736541841</v>
      </c>
      <c r="J39">
        <v>1.3144557523773841</v>
      </c>
      <c r="K39">
        <v>142.1114536902237</v>
      </c>
      <c r="L39">
        <v>412.45916736541841</v>
      </c>
      <c r="M39">
        <v>1.8100445508965251</v>
      </c>
      <c r="O39" s="1">
        <f t="shared" si="0"/>
        <v>7244.0675586165662</v>
      </c>
    </row>
    <row r="40" spans="1:15">
      <c r="A40">
        <v>180.68941536412311</v>
      </c>
      <c r="B40">
        <v>416.71613083326798</v>
      </c>
      <c r="C40">
        <v>1.2712416429996409</v>
      </c>
      <c r="D40">
        <v>141.46395402815051</v>
      </c>
      <c r="E40">
        <v>416.71613083326798</v>
      </c>
      <c r="F40">
        <v>1.7552489834149201</v>
      </c>
      <c r="H40">
        <v>179.56186009574679</v>
      </c>
      <c r="I40">
        <v>412.4591672566678</v>
      </c>
      <c r="J40">
        <v>1.249919750030476</v>
      </c>
      <c r="K40">
        <v>140.37935033063971</v>
      </c>
      <c r="L40">
        <v>412.4591672566678</v>
      </c>
      <c r="M40">
        <v>1.7321032508334799</v>
      </c>
      <c r="O40" s="1">
        <f t="shared" si="0"/>
        <v>6907.8952843840671</v>
      </c>
    </row>
    <row r="41" spans="1:15">
      <c r="A41">
        <v>179.4803868023034</v>
      </c>
      <c r="B41">
        <v>416.71613073275819</v>
      </c>
      <c r="C41">
        <v>1.2090284613099409</v>
      </c>
      <c r="D41">
        <v>139.78409483086199</v>
      </c>
      <c r="E41">
        <v>416.71613073275819</v>
      </c>
      <c r="F41">
        <v>1.679859096778709</v>
      </c>
      <c r="H41">
        <v>178.37326218585201</v>
      </c>
      <c r="I41">
        <v>412.45916715762121</v>
      </c>
      <c r="J41">
        <v>1.188597810848175</v>
      </c>
      <c r="K41">
        <v>138.72174425878839</v>
      </c>
      <c r="L41">
        <v>412.45916715762121</v>
      </c>
      <c r="M41">
        <v>1.6576059728046699</v>
      </c>
      <c r="O41" s="1">
        <f t="shared" si="0"/>
        <v>6587.6835506002399</v>
      </c>
    </row>
    <row r="42" spans="1:15">
      <c r="A42">
        <v>178.3304846381474</v>
      </c>
      <c r="B42">
        <v>416.71613064121448</v>
      </c>
      <c r="C42">
        <v>1.1499020726122919</v>
      </c>
      <c r="D42">
        <v>138.1763057136383</v>
      </c>
      <c r="E42">
        <v>416.71613064121448</v>
      </c>
      <c r="F42">
        <v>1.607789025679996</v>
      </c>
      <c r="H42">
        <v>177.24293655332511</v>
      </c>
      <c r="I42">
        <v>412.45916706741241</v>
      </c>
      <c r="J42">
        <v>1.130325542318104</v>
      </c>
      <c r="K42">
        <v>137.1353509215738</v>
      </c>
      <c r="L42">
        <v>412.45916706741241</v>
      </c>
      <c r="M42">
        <v>1.586393247005778</v>
      </c>
      <c r="O42" s="1">
        <f t="shared" si="0"/>
        <v>6282.6458666787858</v>
      </c>
    </row>
    <row r="43" spans="1:15">
      <c r="A43">
        <v>177.23677922429559</v>
      </c>
      <c r="B43">
        <v>416.71613055783672</v>
      </c>
      <c r="C43">
        <v>1.0937053304740521</v>
      </c>
      <c r="D43">
        <v>136.63741981733889</v>
      </c>
      <c r="E43">
        <v>416.71613055783672</v>
      </c>
      <c r="F43">
        <v>1.5388858129215779</v>
      </c>
      <c r="H43">
        <v>176.16798910183991</v>
      </c>
      <c r="I43">
        <v>412.45916698525269</v>
      </c>
      <c r="J43">
        <v>1.074947369325457</v>
      </c>
      <c r="K43">
        <v>135.61703725107591</v>
      </c>
      <c r="L43">
        <v>412.45916698525269</v>
      </c>
      <c r="M43">
        <v>1.518313588338122</v>
      </c>
      <c r="O43" s="1">
        <f t="shared" si="0"/>
        <v>5992.0369057484895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J42"/>
  <sheetViews>
    <sheetView topLeftCell="F1" zoomScale="206" workbookViewId="0">
      <selection activeCell="I2" sqref="I2"/>
    </sheetView>
  </sheetViews>
  <sheetFormatPr baseColWidth="10" defaultColWidth="26" defaultRowHeight="16"/>
  <cols>
    <col min="3" max="16384" width="26" style="1"/>
  </cols>
  <sheetData>
    <row r="1" spans="1:10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H1" s="1" t="s">
        <v>43</v>
      </c>
    </row>
    <row r="2" spans="1:10">
      <c r="A2">
        <v>416.71665774793968</v>
      </c>
      <c r="B2">
        <v>416.71616545329988</v>
      </c>
      <c r="C2"/>
      <c r="D2">
        <v>416.72332349608661</v>
      </c>
      <c r="E2">
        <v>416.72222644454649</v>
      </c>
      <c r="F2"/>
      <c r="J2" s="1" t="s">
        <v>2</v>
      </c>
    </row>
    <row r="3" spans="1:10">
      <c r="A3">
        <v>368.65755604950971</v>
      </c>
      <c r="B3">
        <v>416.71616226455973</v>
      </c>
      <c r="C3">
        <v>48.059098509689932</v>
      </c>
      <c r="D3">
        <v>378.29229706032447</v>
      </c>
      <c r="E3">
        <v>416.72222328281242</v>
      </c>
      <c r="F3">
        <v>38.431023274028099</v>
      </c>
      <c r="H3" s="1">
        <f>(C3*0.57 + F3*0.3)*$J$3</f>
        <v>597779.32853249332</v>
      </c>
      <c r="J3" s="3">
        <v>15358</v>
      </c>
    </row>
    <row r="4" spans="1:10">
      <c r="A4">
        <v>343.43555335646801</v>
      </c>
      <c r="B4">
        <v>416.71615936026672</v>
      </c>
      <c r="C4">
        <v>25.221999788748558</v>
      </c>
      <c r="D4">
        <v>358.1473009650054</v>
      </c>
      <c r="E4">
        <v>416.7222204032941</v>
      </c>
      <c r="F4">
        <v>20.14499321580071</v>
      </c>
      <c r="H4" s="1">
        <f t="shared" ref="H4:H42" si="0">(C4*0.57 + F4*0.3)*$J$3</f>
        <v>313610.94121317234</v>
      </c>
    </row>
    <row r="5" spans="1:10">
      <c r="A5">
        <v>327.64656357989168</v>
      </c>
      <c r="B5">
        <v>416.71615671504679</v>
      </c>
      <c r="C5">
        <v>15.78898713135645</v>
      </c>
      <c r="D5">
        <v>345.5740716431207</v>
      </c>
      <c r="E5">
        <v>416.7222177808016</v>
      </c>
      <c r="F5">
        <v>12.573226699392199</v>
      </c>
      <c r="H5" s="1">
        <f t="shared" si="0"/>
        <v>196147.62538190183</v>
      </c>
    </row>
    <row r="6" spans="1:10">
      <c r="A6">
        <v>316.91822029092822</v>
      </c>
      <c r="B6">
        <v>416.71615430578998</v>
      </c>
      <c r="C6">
        <v>10.728340879706691</v>
      </c>
      <c r="D6">
        <v>337.076204601673</v>
      </c>
      <c r="E6">
        <v>416.72221539239263</v>
      </c>
      <c r="F6">
        <v>8.4978646530386523</v>
      </c>
      <c r="H6" s="1">
        <f t="shared" si="0"/>
        <v>133069.60136381543</v>
      </c>
      <c r="J6" s="11"/>
    </row>
    <row r="7" spans="1:10">
      <c r="A7">
        <v>308.98408859533589</v>
      </c>
      <c r="B7">
        <v>416.71615211144763</v>
      </c>
      <c r="C7">
        <v>7.9341295012498323</v>
      </c>
      <c r="D7">
        <v>330.83907344808807</v>
      </c>
      <c r="E7">
        <v>416.72221321717262</v>
      </c>
      <c r="F7">
        <v>6.2371289783650399</v>
      </c>
      <c r="H7" s="1">
        <f t="shared" si="0"/>
        <v>98192.793756630184</v>
      </c>
    </row>
    <row r="8" spans="1:10">
      <c r="A8">
        <v>302.65426406679268</v>
      </c>
      <c r="B8">
        <v>416.71615011284831</v>
      </c>
      <c r="C8">
        <v>6.3298225299439492</v>
      </c>
      <c r="D8">
        <v>325.90811202969661</v>
      </c>
      <c r="E8">
        <v>416.7222112361128</v>
      </c>
      <c r="F8">
        <v>4.930959437331623</v>
      </c>
      <c r="H8" s="1">
        <f t="shared" si="0"/>
        <v>78130.548728042835</v>
      </c>
    </row>
    <row r="9" spans="1:10">
      <c r="A9">
        <v>297.29699009901532</v>
      </c>
      <c r="B9">
        <v>416.71614829253127</v>
      </c>
      <c r="C9">
        <v>5.3572721474604492</v>
      </c>
      <c r="D9">
        <v>321.7749716032007</v>
      </c>
      <c r="E9">
        <v>416.72220943188199</v>
      </c>
      <c r="F9">
        <v>4.1331386222651219</v>
      </c>
      <c r="H9" s="1">
        <f t="shared" si="0"/>
        <v>65940.904703421926</v>
      </c>
    </row>
    <row r="10" spans="1:10">
      <c r="A10">
        <v>292.57242612780698</v>
      </c>
      <c r="B10">
        <v>416.71614663459297</v>
      </c>
      <c r="C10">
        <v>4.7245623132699954</v>
      </c>
      <c r="D10">
        <v>318.164908912187</v>
      </c>
      <c r="E10">
        <v>416.72220778869678</v>
      </c>
      <c r="F10">
        <v>3.610061047828486</v>
      </c>
      <c r="H10" s="1">
        <f t="shared" si="0"/>
        <v>57992.097235869296</v>
      </c>
    </row>
    <row r="11" spans="1:10">
      <c r="A11">
        <v>288.29431731906482</v>
      </c>
      <c r="B11">
        <v>416.71614512454892</v>
      </c>
      <c r="C11">
        <v>4.2781072986980133</v>
      </c>
      <c r="D11">
        <v>314.9262627654611</v>
      </c>
      <c r="E11">
        <v>416.72220629218191</v>
      </c>
      <c r="F11">
        <v>3.238644650211024</v>
      </c>
      <c r="H11" s="1">
        <f t="shared" si="0"/>
        <v>52372.539340622607</v>
      </c>
    </row>
    <row r="12" spans="1:10">
      <c r="A12">
        <v>284.35762839428128</v>
      </c>
      <c r="B12">
        <v>416.71614374920608</v>
      </c>
      <c r="C12">
        <v>3.9366875494407099</v>
      </c>
      <c r="D12">
        <v>311.97259916310958</v>
      </c>
      <c r="E12">
        <v>416.72220492924578</v>
      </c>
      <c r="F12">
        <v>2.9536622394153418</v>
      </c>
      <c r="H12" s="1">
        <f t="shared" si="0"/>
        <v>48070.702410939186</v>
      </c>
    </row>
    <row r="13" spans="1:10">
      <c r="A13">
        <v>280.70052896462403</v>
      </c>
      <c r="B13">
        <v>416.71614249654863</v>
      </c>
      <c r="C13">
        <v>3.6570981769999609</v>
      </c>
      <c r="D13">
        <v>309.25229598929332</v>
      </c>
      <c r="E13">
        <v>416.7222036879653</v>
      </c>
      <c r="F13">
        <v>2.7203019325358659</v>
      </c>
      <c r="H13" s="1">
        <f t="shared" si="0"/>
        <v>44547.97599131403</v>
      </c>
    </row>
    <row r="14" spans="1:10">
      <c r="A14">
        <v>277.28436785817098</v>
      </c>
      <c r="B14">
        <v>416.7161413556326</v>
      </c>
      <c r="C14">
        <v>3.4161599655368868</v>
      </c>
      <c r="D14">
        <v>306.73250433502341</v>
      </c>
      <c r="E14">
        <v>416.72220255748152</v>
      </c>
      <c r="F14">
        <v>2.5197905237860279</v>
      </c>
      <c r="H14" s="1">
        <f t="shared" si="0"/>
        <v>41514.952167199583</v>
      </c>
    </row>
    <row r="15" spans="1:10">
      <c r="A15">
        <v>274.083098497751</v>
      </c>
      <c r="B15">
        <v>416.71614031649051</v>
      </c>
      <c r="C15">
        <v>3.2012683212779409</v>
      </c>
      <c r="D15">
        <v>304.39066728514592</v>
      </c>
      <c r="E15">
        <v>416.72220152790442</v>
      </c>
      <c r="F15">
        <v>2.341836020300514</v>
      </c>
      <c r="H15" s="1">
        <f t="shared" si="0"/>
        <v>38813.87024049896</v>
      </c>
    </row>
    <row r="16" spans="1:10">
      <c r="A16">
        <v>271.07767956490068</v>
      </c>
      <c r="B16">
        <v>416.71613937004349</v>
      </c>
      <c r="C16">
        <v>3.0054179864032502</v>
      </c>
      <c r="D16">
        <v>302.21001971586531</v>
      </c>
      <c r="E16">
        <v>416.72220059022737</v>
      </c>
      <c r="F16">
        <v>2.1806466316035702</v>
      </c>
      <c r="H16" s="1">
        <f t="shared" si="0"/>
        <v>36356.720668503527</v>
      </c>
    </row>
    <row r="17" spans="1:8">
      <c r="A17">
        <v>268.25309839941508</v>
      </c>
      <c r="B17">
        <v>416.71613850802282</v>
      </c>
      <c r="C17">
        <v>2.8245803034647992</v>
      </c>
      <c r="D17">
        <v>300.17718829585942</v>
      </c>
      <c r="E17">
        <v>416.72219973624738</v>
      </c>
      <c r="F17">
        <v>2.0328305660258601</v>
      </c>
      <c r="H17" s="1">
        <f t="shared" si="0"/>
        <v>34092.609001256606</v>
      </c>
    </row>
    <row r="18" spans="1:8">
      <c r="A18">
        <v>265.59677863504908</v>
      </c>
      <c r="B18">
        <v>416.71613772289737</v>
      </c>
      <c r="C18">
        <v>2.6563189792407509</v>
      </c>
      <c r="D18">
        <v>298.28090101450528</v>
      </c>
      <c r="E18">
        <v>416.72219895849372</v>
      </c>
      <c r="F18">
        <v>1.89628650360037</v>
      </c>
      <c r="H18" s="1">
        <f t="shared" si="0"/>
        <v>31990.526160100631</v>
      </c>
    </row>
    <row r="19" spans="1:8">
      <c r="A19">
        <v>263.09771941309617</v>
      </c>
      <c r="B19">
        <v>416.7161370078083</v>
      </c>
      <c r="C19">
        <v>2.499058506863757</v>
      </c>
      <c r="D19">
        <v>296.51128388029503</v>
      </c>
      <c r="E19">
        <v>416.72219825016208</v>
      </c>
      <c r="F19">
        <v>1.7696164258786671</v>
      </c>
      <c r="H19" s="1">
        <f t="shared" si="0"/>
        <v>30030.238833189109</v>
      </c>
    </row>
    <row r="20" spans="1:8">
      <c r="A20">
        <v>260.74602199098638</v>
      </c>
      <c r="B20">
        <v>416.7161363565076</v>
      </c>
      <c r="C20">
        <v>2.3516967708091219</v>
      </c>
      <c r="D20">
        <v>294.85946915012318</v>
      </c>
      <c r="E20">
        <v>416.72219760505601</v>
      </c>
      <c r="F20">
        <v>1.651814085065785</v>
      </c>
      <c r="H20" s="1">
        <f t="shared" si="0"/>
        <v>28197.4628490014</v>
      </c>
    </row>
    <row r="21" spans="1:8">
      <c r="A21">
        <v>258.53262212137088</v>
      </c>
      <c r="B21">
        <v>416.71613576330549</v>
      </c>
      <c r="C21">
        <v>2.2133992764133841</v>
      </c>
      <c r="D21">
        <v>293.31736952960898</v>
      </c>
      <c r="E21">
        <v>416.7221970175321</v>
      </c>
      <c r="F21">
        <v>1.542099032990204</v>
      </c>
      <c r="H21" s="1">
        <f t="shared" si="0"/>
        <v>26481.297154278411</v>
      </c>
    </row>
    <row r="22" spans="1:8">
      <c r="A22">
        <v>256.44913228706162</v>
      </c>
      <c r="B22">
        <v>416.71613522301891</v>
      </c>
      <c r="C22">
        <v>2.083489294022693</v>
      </c>
      <c r="D22">
        <v>291.87754140541512</v>
      </c>
      <c r="E22">
        <v>416.7221964824505</v>
      </c>
      <c r="F22">
        <v>1.4398275891124019</v>
      </c>
      <c r="H22" s="1">
        <f t="shared" si="0"/>
        <v>24872.851923308775</v>
      </c>
    </row>
    <row r="23" spans="1:8">
      <c r="A23">
        <v>254.48774308705589</v>
      </c>
      <c r="B23">
        <v>416.71613473092748</v>
      </c>
      <c r="C23">
        <v>1.9613887079143619</v>
      </c>
      <c r="D23">
        <v>290.53309638598728</v>
      </c>
      <c r="E23">
        <v>416.72219599513028</v>
      </c>
      <c r="F23">
        <v>1.3444445321075069</v>
      </c>
      <c r="H23" s="1">
        <f t="shared" si="0"/>
        <v>23364.508169636923</v>
      </c>
    </row>
    <row r="24" spans="1:8">
      <c r="A24">
        <v>252.64115692529421</v>
      </c>
      <c r="B24">
        <v>416.71613428273281</v>
      </c>
      <c r="C24">
        <v>1.846585713566929</v>
      </c>
      <c r="D24">
        <v>289.27763954874388</v>
      </c>
      <c r="E24">
        <v>416.7221955513084</v>
      </c>
      <c r="F24">
        <v>1.255456393421587</v>
      </c>
      <c r="H24" s="1">
        <f t="shared" si="0"/>
        <v>21949.51191875833</v>
      </c>
    </row>
    <row r="25" spans="1:8">
      <c r="A25">
        <v>250.9025397481395</v>
      </c>
      <c r="B25">
        <v>416.71613387451868</v>
      </c>
      <c r="C25">
        <v>1.7386167689406311</v>
      </c>
      <c r="D25">
        <v>288.10522289341839</v>
      </c>
      <c r="E25">
        <v>416.72219514710201</v>
      </c>
      <c r="F25">
        <v>1.1724162511190459</v>
      </c>
      <c r="H25" s="1">
        <f t="shared" si="0"/>
        <v>20621.746147718313</v>
      </c>
    </row>
    <row r="26" spans="1:8">
      <c r="A26">
        <v>249.26548322954329</v>
      </c>
      <c r="B26">
        <v>416.71613350271849</v>
      </c>
      <c r="C26">
        <v>1.6370561467960321</v>
      </c>
      <c r="D26">
        <v>287.01030784206063</v>
      </c>
      <c r="E26">
        <v>416.72219477897488</v>
      </c>
      <c r="F26">
        <v>1.0949146832307739</v>
      </c>
      <c r="H26" s="1">
        <f t="shared" si="0"/>
        <v>19375.597643938738</v>
      </c>
    </row>
    <row r="27" spans="1:8">
      <c r="A27">
        <v>247.72397332060669</v>
      </c>
      <c r="B27">
        <v>416.71613316408428</v>
      </c>
      <c r="C27">
        <v>1.5415095703024051</v>
      </c>
      <c r="D27">
        <v>285.98773345340248</v>
      </c>
      <c r="E27">
        <v>416.72219444370688</v>
      </c>
      <c r="F27">
        <v>1.0225740533900309</v>
      </c>
      <c r="H27" s="1">
        <f t="shared" si="0"/>
        <v>18205.8749625907</v>
      </c>
    </row>
    <row r="28" spans="1:8">
      <c r="A28">
        <v>246.27236294304589</v>
      </c>
      <c r="B28">
        <v>416.71613285565752</v>
      </c>
      <c r="C28">
        <v>1.45161006913393</v>
      </c>
      <c r="D28">
        <v>285.03268851893489</v>
      </c>
      <c r="E28">
        <v>416.72219413836461</v>
      </c>
      <c r="F28">
        <v>0.95504462912536781</v>
      </c>
      <c r="H28" s="1">
        <f t="shared" si="0"/>
        <v>17107.75426603479</v>
      </c>
    </row>
    <row r="29" spans="1:8">
      <c r="A29">
        <v>244.90534759493789</v>
      </c>
      <c r="B29">
        <v>416.71613257474343</v>
      </c>
      <c r="C29">
        <v>1.367015067193909</v>
      </c>
      <c r="D29">
        <v>284.1406865061445</v>
      </c>
      <c r="E29">
        <v>416.72219386027729</v>
      </c>
      <c r="F29">
        <v>0.8920017347030722</v>
      </c>
      <c r="H29" s="1">
        <f t="shared" si="0"/>
        <v>16076.740711590444</v>
      </c>
    </row>
    <row r="30" spans="1:8">
      <c r="A30">
        <v>243.61794316421131</v>
      </c>
      <c r="B30">
        <v>416.71613231888767</v>
      </c>
      <c r="C30">
        <v>1.2874041748709339</v>
      </c>
      <c r="D30">
        <v>283.30754274149518</v>
      </c>
      <c r="E30">
        <v>416.72219360701212</v>
      </c>
      <c r="F30">
        <v>0.83314351138418397</v>
      </c>
      <c r="H30" s="1">
        <f t="shared" si="0"/>
        <v>15108.638805422137</v>
      </c>
    </row>
    <row r="31" spans="1:8">
      <c r="A31">
        <v>242.40546552820979</v>
      </c>
      <c r="B31">
        <v>416.71613208585552</v>
      </c>
      <c r="C31">
        <v>1.2124774029692511</v>
      </c>
      <c r="D31">
        <v>282.5293534564421</v>
      </c>
      <c r="E31">
        <v>416.72219337635329</v>
      </c>
      <c r="F31">
        <v>0.77818905439428454</v>
      </c>
      <c r="H31" s="1">
        <f t="shared" si="0"/>
        <v>14199.528183453229</v>
      </c>
    </row>
    <row r="32" spans="1:8">
      <c r="A32">
        <v>241.26351167116829</v>
      </c>
      <c r="B32">
        <v>416.71613187361049</v>
      </c>
      <c r="C32">
        <v>1.1419536447965679</v>
      </c>
      <c r="D32">
        <v>281.80247644626502</v>
      </c>
      <c r="E32">
        <v>416.72219316628298</v>
      </c>
      <c r="F32">
        <v>0.72687680010682243</v>
      </c>
      <c r="H32" s="1">
        <f t="shared" si="0"/>
        <v>13345.742892580016</v>
      </c>
    </row>
    <row r="33" spans="1:8">
      <c r="A33">
        <v>240.1879421362585</v>
      </c>
      <c r="B33">
        <v>416.71613168029847</v>
      </c>
      <c r="C33">
        <v>1.0755693415977321</v>
      </c>
      <c r="D33">
        <v>281.12351316254001</v>
      </c>
      <c r="E33">
        <v>416.72219297496372</v>
      </c>
      <c r="F33">
        <v>0.67896309240562402</v>
      </c>
      <c r="H33" s="1">
        <f t="shared" si="0"/>
        <v>12543.853102456715</v>
      </c>
    </row>
    <row r="34" spans="1:8">
      <c r="A34">
        <v>239.17486467706689</v>
      </c>
      <c r="B34">
        <v>416.71613150423082</v>
      </c>
      <c r="C34">
        <v>1.013077283123782</v>
      </c>
      <c r="D34">
        <v>280.48929210142393</v>
      </c>
      <c r="E34">
        <v>416.72219280072142</v>
      </c>
      <c r="F34">
        <v>0.63422088687385758</v>
      </c>
      <c r="H34" s="1">
        <f t="shared" si="0"/>
        <v>11790.648635285186</v>
      </c>
    </row>
    <row r="35" spans="1:8">
      <c r="A35">
        <v>238.22061900192691</v>
      </c>
      <c r="B35">
        <v>416.71613134386871</v>
      </c>
      <c r="C35">
        <v>0.95424551477799469</v>
      </c>
      <c r="D35">
        <v>279.89685337524929</v>
      </c>
      <c r="E35">
        <v>416.72219264203221</v>
      </c>
      <c r="F35">
        <v>0.59243856748534063</v>
      </c>
      <c r="H35" s="1">
        <f t="shared" si="0"/>
        <v>11083.123946929411</v>
      </c>
    </row>
    <row r="36" spans="1:8">
      <c r="A36">
        <v>237.32176252241399</v>
      </c>
      <c r="B36">
        <v>416.71613119781148</v>
      </c>
      <c r="C36">
        <v>0.89885633345573979</v>
      </c>
      <c r="D36">
        <v>279.34343437147407</v>
      </c>
      <c r="E36">
        <v>416.72219249750731</v>
      </c>
      <c r="F36">
        <v>0.55341885925027157</v>
      </c>
      <c r="H36" s="1">
        <f t="shared" si="0"/>
        <v>10418.464326561254</v>
      </c>
    </row>
    <row r="37" spans="1:8">
      <c r="A37">
        <v>236.4750570293285</v>
      </c>
      <c r="B37">
        <v>416.71613106478321</v>
      </c>
      <c r="C37">
        <v>0.84670536005723329</v>
      </c>
      <c r="D37">
        <v>278.82645641466479</v>
      </c>
      <c r="E37">
        <v>416.72219236588279</v>
      </c>
      <c r="F37">
        <v>0.51697782518475321</v>
      </c>
      <c r="H37" s="1">
        <f t="shared" si="0"/>
        <v>9794.0331560188533</v>
      </c>
    </row>
    <row r="38" spans="1:8">
      <c r="A38">
        <v>235.67745622815639</v>
      </c>
      <c r="B38">
        <v>416.71613094362141</v>
      </c>
      <c r="C38">
        <v>0.79760068001032403</v>
      </c>
      <c r="D38">
        <v>278.3435123559629</v>
      </c>
      <c r="E38">
        <v>416.72219224600701</v>
      </c>
      <c r="F38">
        <v>0.48294393882614872</v>
      </c>
      <c r="H38" s="1">
        <f t="shared" si="0"/>
        <v>9207.3601125987752</v>
      </c>
    </row>
    <row r="39" spans="1:8">
      <c r="A39">
        <v>234.92609407270481</v>
      </c>
      <c r="B39">
        <v>416.71613083326798</v>
      </c>
      <c r="C39">
        <v>0.75136204509810511</v>
      </c>
      <c r="D39">
        <v>277.89235502153241</v>
      </c>
      <c r="E39">
        <v>416.72219213683121</v>
      </c>
      <c r="F39">
        <v>0.4511572252546851</v>
      </c>
      <c r="H39" s="1">
        <f t="shared" si="0"/>
        <v>8656.1302241499543</v>
      </c>
    </row>
    <row r="40" spans="1:8">
      <c r="A40">
        <v>234.21827384108479</v>
      </c>
      <c r="B40">
        <v>416.71613073275819</v>
      </c>
      <c r="C40">
        <v>0.70782013111029352</v>
      </c>
      <c r="D40">
        <v>277.47088645740411</v>
      </c>
      <c r="E40">
        <v>416.72219203740059</v>
      </c>
      <c r="F40">
        <v>0.42146846469768678</v>
      </c>
      <c r="H40" s="1">
        <f t="shared" si="0"/>
        <v>8138.1737011954974</v>
      </c>
    </row>
    <row r="41" spans="1:8">
      <c r="A41">
        <v>233.551457902875</v>
      </c>
      <c r="B41">
        <v>416.71613064121448</v>
      </c>
      <c r="C41">
        <v>0.66681584666605198</v>
      </c>
      <c r="D41">
        <v>277.07714791326981</v>
      </c>
      <c r="E41">
        <v>416.72219194684521</v>
      </c>
      <c r="F41">
        <v>0.39373845357889548</v>
      </c>
      <c r="H41" s="1">
        <f t="shared" si="0"/>
        <v>7651.4564816848215</v>
      </c>
    </row>
    <row r="42" spans="1:8">
      <c r="A42">
        <v>232.923258130383</v>
      </c>
      <c r="B42">
        <v>416.71613055783672</v>
      </c>
      <c r="C42">
        <v>0.6281996891142233</v>
      </c>
      <c r="D42">
        <v>276.70931051234629</v>
      </c>
      <c r="E42">
        <v>416.72219186437292</v>
      </c>
      <c r="F42">
        <v>0.36783731845116557</v>
      </c>
      <c r="H42" s="1">
        <f t="shared" si="0"/>
        <v>7194.0714315191572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G42"/>
  <sheetViews>
    <sheetView topLeftCell="A7" zoomScale="115" workbookViewId="0">
      <selection activeCell="F34" sqref="F34"/>
    </sheetView>
  </sheetViews>
  <sheetFormatPr baseColWidth="10" defaultColWidth="26.33203125" defaultRowHeight="16"/>
  <cols>
    <col min="2" max="16384" width="26.33203125" style="1"/>
  </cols>
  <sheetData>
    <row r="1" spans="1:7">
      <c r="A1" s="9" t="s">
        <v>44</v>
      </c>
      <c r="B1" s="9" t="s">
        <v>45</v>
      </c>
      <c r="C1" s="9" t="s">
        <v>46</v>
      </c>
      <c r="E1" s="1" t="s">
        <v>43</v>
      </c>
    </row>
    <row r="2" spans="1:7">
      <c r="A2">
        <v>416.71665774793968</v>
      </c>
      <c r="B2">
        <v>416.71616545329988</v>
      </c>
      <c r="C2"/>
      <c r="G2" s="1" t="s">
        <v>2</v>
      </c>
    </row>
    <row r="3" spans="1:7">
      <c r="A3">
        <v>370.64525247623919</v>
      </c>
      <c r="B3">
        <v>416.71616226455973</v>
      </c>
      <c r="C3">
        <v>46.071402082960411</v>
      </c>
      <c r="E3" s="1">
        <f>C3*0.8645*$G$3</f>
        <v>385462.42088076117</v>
      </c>
      <c r="G3" s="3">
        <v>9678</v>
      </c>
    </row>
    <row r="4" spans="1:7">
      <c r="A4">
        <v>346.47246254458781</v>
      </c>
      <c r="B4">
        <v>416.71615936026672</v>
      </c>
      <c r="C4">
        <v>24.172787027358272</v>
      </c>
      <c r="E4" s="1">
        <f t="shared" ref="E4:E42" si="0">C4*0.8645*$G$3</f>
        <v>202244.78929949357</v>
      </c>
    </row>
    <row r="5" spans="1:7">
      <c r="A5">
        <v>331.34964403122279</v>
      </c>
      <c r="B5">
        <v>416.71615671504679</v>
      </c>
      <c r="C5">
        <v>15.122815868145191</v>
      </c>
      <c r="E5" s="1">
        <f t="shared" si="0"/>
        <v>126527.02004971547</v>
      </c>
    </row>
    <row r="6" spans="1:7">
      <c r="A6">
        <v>321.08528742337171</v>
      </c>
      <c r="B6">
        <v>416.71615430578998</v>
      </c>
      <c r="C6">
        <v>10.264354198594329</v>
      </c>
      <c r="E6" s="1">
        <f t="shared" si="0"/>
        <v>85878.064032939481</v>
      </c>
      <c r="G6" s="11"/>
    </row>
    <row r="7" spans="1:7">
      <c r="A7">
        <v>313.50616866073352</v>
      </c>
      <c r="B7">
        <v>416.71615211144763</v>
      </c>
      <c r="C7">
        <v>7.5791165682956461</v>
      </c>
      <c r="E7" s="1">
        <f t="shared" si="0"/>
        <v>63411.671632915975</v>
      </c>
    </row>
    <row r="8" spans="1:7">
      <c r="A8">
        <v>307.47087273556502</v>
      </c>
      <c r="B8">
        <v>416.71615011284831</v>
      </c>
      <c r="C8">
        <v>6.0352939265692376</v>
      </c>
      <c r="E8" s="1">
        <f t="shared" si="0"/>
        <v>50495.07726014591</v>
      </c>
    </row>
    <row r="9" spans="1:7">
      <c r="A9">
        <v>302.37301704251882</v>
      </c>
      <c r="B9">
        <v>416.71614829253127</v>
      </c>
      <c r="C9">
        <v>5.0978538727292033</v>
      </c>
      <c r="E9" s="1">
        <f t="shared" si="0"/>
        <v>42651.862245046214</v>
      </c>
    </row>
    <row r="10" spans="1:7">
      <c r="A10">
        <v>297.88609955336739</v>
      </c>
      <c r="B10">
        <v>416.71614663459297</v>
      </c>
      <c r="C10">
        <v>4.486915831213115</v>
      </c>
      <c r="E10" s="1">
        <f t="shared" si="0"/>
        <v>37540.369087818421</v>
      </c>
    </row>
    <row r="11" spans="1:7">
      <c r="A11">
        <v>293.83091283189532</v>
      </c>
      <c r="B11">
        <v>416.71614512454892</v>
      </c>
      <c r="C11">
        <v>4.0551852114280109</v>
      </c>
      <c r="E11" s="1">
        <f t="shared" si="0"/>
        <v>33928.238300675148</v>
      </c>
    </row>
    <row r="12" spans="1:7">
      <c r="A12">
        <v>290.10617449125277</v>
      </c>
      <c r="B12">
        <v>416.71614374920608</v>
      </c>
      <c r="C12">
        <v>3.7247369652997548</v>
      </c>
      <c r="E12" s="1">
        <f t="shared" si="0"/>
        <v>31163.499760722858</v>
      </c>
    </row>
    <row r="13" spans="1:7">
      <c r="A13">
        <v>286.65208112808932</v>
      </c>
      <c r="B13">
        <v>416.71614249654863</v>
      </c>
      <c r="C13">
        <v>3.454092110506068</v>
      </c>
      <c r="E13" s="1">
        <f t="shared" si="0"/>
        <v>28899.114128615496</v>
      </c>
    </row>
    <row r="14" spans="1:7">
      <c r="A14">
        <v>283.43110517554783</v>
      </c>
      <c r="B14">
        <v>416.7161413556326</v>
      </c>
      <c r="C14">
        <v>3.220974811625434</v>
      </c>
      <c r="E14" s="1">
        <f t="shared" si="0"/>
        <v>26948.707709164519</v>
      </c>
    </row>
    <row r="15" spans="1:7">
      <c r="A15">
        <v>280.41785186546571</v>
      </c>
      <c r="B15">
        <v>416.71614031649051</v>
      </c>
      <c r="C15">
        <v>3.0132522709399492</v>
      </c>
      <c r="E15" s="1">
        <f t="shared" si="0"/>
        <v>25210.769860866581</v>
      </c>
    </row>
    <row r="16" spans="1:7">
      <c r="A16">
        <v>277.59368628729248</v>
      </c>
      <c r="B16">
        <v>416.71613937004349</v>
      </c>
      <c r="C16">
        <v>2.8241646317261062</v>
      </c>
      <c r="E16" s="1">
        <f t="shared" si="0"/>
        <v>23628.743356903222</v>
      </c>
    </row>
    <row r="17" spans="1:5">
      <c r="A17">
        <v>274.94387539537468</v>
      </c>
      <c r="B17">
        <v>416.71613850802282</v>
      </c>
      <c r="C17">
        <v>2.6498100298971732</v>
      </c>
      <c r="E17" s="1">
        <f t="shared" si="0"/>
        <v>22169.982740248615</v>
      </c>
    </row>
    <row r="18" spans="1:5">
      <c r="A18">
        <v>272.45605761380409</v>
      </c>
      <c r="B18">
        <v>416.71613772289737</v>
      </c>
      <c r="C18">
        <v>2.4878169964452699</v>
      </c>
      <c r="E18" s="1">
        <f t="shared" si="0"/>
        <v>20814.646804785887</v>
      </c>
    </row>
    <row r="19" spans="1:5">
      <c r="A19">
        <v>270.11941426270602</v>
      </c>
      <c r="B19">
        <v>416.7161370078083</v>
      </c>
      <c r="C19">
        <v>2.3366426360088699</v>
      </c>
      <c r="E19" s="1">
        <f t="shared" si="0"/>
        <v>19549.826714353527</v>
      </c>
    </row>
    <row r="20" spans="1:5">
      <c r="A20">
        <v>267.92421275815201</v>
      </c>
      <c r="B20">
        <v>416.7161363565076</v>
      </c>
      <c r="C20">
        <v>2.1952008532534442</v>
      </c>
      <c r="E20" s="1">
        <f t="shared" si="0"/>
        <v>18366.435510056719</v>
      </c>
    </row>
    <row r="21" spans="1:5">
      <c r="A21">
        <v>265.86154739511568</v>
      </c>
      <c r="B21">
        <v>416.71613576330549</v>
      </c>
      <c r="C21">
        <v>2.062664769834166</v>
      </c>
      <c r="E21" s="1">
        <f t="shared" si="0"/>
        <v>17257.555005902399</v>
      </c>
    </row>
    <row r="22" spans="1:5">
      <c r="A22">
        <v>263.92318570839689</v>
      </c>
      <c r="B22">
        <v>416.71613522301891</v>
      </c>
      <c r="C22">
        <v>1.938361146432124</v>
      </c>
      <c r="E22" s="1">
        <f t="shared" si="0"/>
        <v>16217.552456934549</v>
      </c>
    </row>
    <row r="23" spans="1:5">
      <c r="A23">
        <v>262.10147176210239</v>
      </c>
      <c r="B23">
        <v>416.71613473092748</v>
      </c>
      <c r="C23">
        <v>1.821713454203173</v>
      </c>
      <c r="E23" s="1">
        <f t="shared" si="0"/>
        <v>15241.604259053349</v>
      </c>
    </row>
    <row r="24" spans="1:5">
      <c r="A24">
        <v>260.38926059904128</v>
      </c>
      <c r="B24">
        <v>416.71613428273281</v>
      </c>
      <c r="C24">
        <v>1.7122107148664301</v>
      </c>
      <c r="E24" s="1">
        <f t="shared" si="0"/>
        <v>14325.435245533636</v>
      </c>
    </row>
    <row r="25" spans="1:5">
      <c r="A25">
        <v>258.77987016232822</v>
      </c>
      <c r="B25">
        <v>416.71613387451868</v>
      </c>
      <c r="C25">
        <v>1.6093900284989879</v>
      </c>
      <c r="E25" s="1">
        <f t="shared" si="0"/>
        <v>13465.172503530517</v>
      </c>
    </row>
    <row r="26" spans="1:5">
      <c r="A26">
        <v>257.26704338432597</v>
      </c>
      <c r="B26">
        <v>416.71613350271849</v>
      </c>
      <c r="C26">
        <v>1.51282640620208</v>
      </c>
      <c r="E26" s="1">
        <f t="shared" si="0"/>
        <v>12657.260307748915</v>
      </c>
    </row>
    <row r="27" spans="1:5">
      <c r="A27">
        <v>255.8449165137184</v>
      </c>
      <c r="B27">
        <v>416.71613316408428</v>
      </c>
      <c r="C27">
        <v>1.422126531973281</v>
      </c>
      <c r="E27" s="1">
        <f t="shared" si="0"/>
        <v>11898.407928330145</v>
      </c>
    </row>
    <row r="28" spans="1:5">
      <c r="A28">
        <v>254.50799153962541</v>
      </c>
      <c r="B28">
        <v>416.71613285565752</v>
      </c>
      <c r="C28">
        <v>1.33692466566617</v>
      </c>
      <c r="E28" s="1">
        <f t="shared" si="0"/>
        <v>11185.555352427215</v>
      </c>
    </row>
    <row r="29" spans="1:5">
      <c r="A29">
        <v>253.2511115213355</v>
      </c>
      <c r="B29">
        <v>416.71613257474343</v>
      </c>
      <c r="C29">
        <v>1.25687973737583</v>
      </c>
      <c r="E29" s="1">
        <f t="shared" si="0"/>
        <v>10515.848974000479</v>
      </c>
    </row>
    <row r="30" spans="1:5">
      <c r="A30">
        <v>252.06943813880059</v>
      </c>
      <c r="B30">
        <v>416.71613231888767</v>
      </c>
      <c r="C30">
        <v>1.1816731266792999</v>
      </c>
      <c r="E30" s="1">
        <f t="shared" si="0"/>
        <v>9886.6230135419592</v>
      </c>
    </row>
    <row r="31" spans="1:5">
      <c r="A31">
        <v>250.95843105120011</v>
      </c>
      <c r="B31">
        <v>416.71613208585552</v>
      </c>
      <c r="C31">
        <v>1.111006854568193</v>
      </c>
      <c r="E31" s="1">
        <f t="shared" si="0"/>
        <v>9295.3843906427355</v>
      </c>
    </row>
    <row r="32" spans="1:5">
      <c r="A32">
        <v>249.91382879886589</v>
      </c>
      <c r="B32">
        <v>416.71613187361049</v>
      </c>
      <c r="C32">
        <v>1.0446020400893259</v>
      </c>
      <c r="E32" s="1">
        <f t="shared" si="0"/>
        <v>8739.7998112745972</v>
      </c>
    </row>
    <row r="33" spans="1:5">
      <c r="A33">
        <v>248.93163106585661</v>
      </c>
      <c r="B33">
        <v>416.71613168029847</v>
      </c>
      <c r="C33">
        <v>0.9821975396971302</v>
      </c>
      <c r="E33" s="1">
        <f t="shared" si="0"/>
        <v>8217.6843837537417</v>
      </c>
    </row>
    <row r="34" spans="1:5">
      <c r="A34">
        <v>248.00808216728711</v>
      </c>
      <c r="B34">
        <v>416.71613150423082</v>
      </c>
      <c r="C34">
        <v>0.92354872250182518</v>
      </c>
      <c r="E34" s="1">
        <f t="shared" si="0"/>
        <v>7726.9913716941683</v>
      </c>
    </row>
    <row r="35" spans="1:5">
      <c r="A35">
        <v>247.13965565341729</v>
      </c>
      <c r="B35">
        <v>416.71613134386871</v>
      </c>
      <c r="C35">
        <v>0.86842635350771502</v>
      </c>
      <c r="E35" s="1">
        <f t="shared" si="0"/>
        <v>7265.802850474608</v>
      </c>
    </row>
    <row r="36" spans="1:5">
      <c r="A36">
        <v>246.32303994013489</v>
      </c>
      <c r="B36">
        <v>416.71613119781148</v>
      </c>
      <c r="C36">
        <v>0.81661556722526052</v>
      </c>
      <c r="E36" s="1">
        <f t="shared" si="0"/>
        <v>6832.3211198294493</v>
      </c>
    </row>
    <row r="37" spans="1:5">
      <c r="A37">
        <v>245.55512488739811</v>
      </c>
      <c r="B37">
        <v>416.71613106478321</v>
      </c>
      <c r="C37">
        <v>0.76791491970848824</v>
      </c>
      <c r="E37" s="1">
        <f t="shared" si="0"/>
        <v>6424.860772595549</v>
      </c>
    </row>
    <row r="38" spans="1:5">
      <c r="A38">
        <v>244.83298925591021</v>
      </c>
      <c r="B38">
        <v>416.71613094362141</v>
      </c>
      <c r="C38">
        <v>0.72213551032606915</v>
      </c>
      <c r="E38" s="1">
        <f t="shared" si="0"/>
        <v>6041.8413468949102</v>
      </c>
    </row>
    <row r="39" spans="1:5">
      <c r="A39">
        <v>244.15388897907269</v>
      </c>
      <c r="B39">
        <v>416.71613083326798</v>
      </c>
      <c r="C39">
        <v>0.67910016648414739</v>
      </c>
      <c r="E39" s="1">
        <f t="shared" si="0"/>
        <v>5681.7805050114284</v>
      </c>
    </row>
    <row r="40" spans="1:5">
      <c r="A40">
        <v>243.51524619283319</v>
      </c>
      <c r="B40">
        <v>416.71613073275819</v>
      </c>
      <c r="C40">
        <v>0.63864268572964511</v>
      </c>
      <c r="E40" s="1">
        <f t="shared" si="0"/>
        <v>5343.2876923489066</v>
      </c>
    </row>
    <row r="41" spans="1:5">
      <c r="A41">
        <v>242.91463897081519</v>
      </c>
      <c r="B41">
        <v>416.71613064121448</v>
      </c>
      <c r="C41">
        <v>0.60060713047432535</v>
      </c>
      <c r="E41" s="1">
        <f t="shared" si="0"/>
        <v>5025.0582366475355</v>
      </c>
    </row>
    <row r="42" spans="1:5">
      <c r="A42">
        <v>242.3497917162907</v>
      </c>
      <c r="B42">
        <v>416.71613055783672</v>
      </c>
      <c r="C42">
        <v>0.5648471711466575</v>
      </c>
      <c r="E42" s="1">
        <f t="shared" si="0"/>
        <v>4725.8678523779299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Net_Summary</vt:lpstr>
      <vt:lpstr>Subtracting_Biochar_Removals</vt:lpstr>
      <vt:lpstr>Summary_Removals</vt:lpstr>
      <vt:lpstr>Summary_Reductions</vt:lpstr>
      <vt:lpstr>Additional_Coop_Projections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2026-06-26T00:25:50Z</dcterms:modified>
</cp:coreProperties>
</file>