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hirbendre/Documents/Gazelle/Gazelle_2026/Kenya_Project/Agricentric_SOC_Modeling/Mid_Estimate/"/>
    </mc:Choice>
  </mc:AlternateContent>
  <xr:revisionPtr revIDLastSave="0" documentId="13_ncr:1_{D247D3F7-C2E3-4A46-AF88-127165FADBB2}" xr6:coauthVersionLast="47" xr6:coauthVersionMax="47" xr10:uidLastSave="{00000000-0000-0000-0000-000000000000}"/>
  <bookViews>
    <workbookView xWindow="0" yWindow="720" windowWidth="29400" windowHeight="18400" activeTab="3" xr2:uid="{72AD1D35-862B-EB40-AF7A-21135E5EFD45}"/>
  </bookViews>
  <sheets>
    <sheet name="Net_Summary" sheetId="9" r:id="rId1"/>
    <sheet name="Summary_Removals" sheetId="6" r:id="rId2"/>
    <sheet name="Summary_Reductions" sheetId="8" r:id="rId3"/>
    <sheet name="Additional_Coop_Projections" sheetId="7" r:id="rId4"/>
    <sheet name="Eor" sheetId="1" r:id="rId5"/>
    <sheet name="Lanyuak" sheetId="2" r:id="rId6"/>
    <sheet name="Mumberes" sheetId="3" r:id="rId7"/>
    <sheet name="Kabianga" sheetId="4" r:id="rId8"/>
    <sheet name="Kipsigis" sheetId="5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7" i="7" l="1"/>
  <c r="L48" i="7" s="1"/>
  <c r="L45" i="7"/>
  <c r="L44" i="7"/>
  <c r="L15" i="7"/>
  <c r="L13" i="7"/>
  <c r="K12" i="7"/>
  <c r="L14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C13" i="7"/>
  <c r="D13" i="7"/>
  <c r="E13" i="7"/>
  <c r="F13" i="7"/>
  <c r="G13" i="7"/>
  <c r="H13" i="7"/>
  <c r="I13" i="7"/>
  <c r="J13" i="7"/>
  <c r="K13" i="7"/>
  <c r="C14" i="7"/>
  <c r="D14" i="7"/>
  <c r="E14" i="7"/>
  <c r="F14" i="7"/>
  <c r="G14" i="7"/>
  <c r="H14" i="7"/>
  <c r="I14" i="7"/>
  <c r="J14" i="7"/>
  <c r="K14" i="7"/>
  <c r="C15" i="7"/>
  <c r="D15" i="7"/>
  <c r="E15" i="7"/>
  <c r="F15" i="7"/>
  <c r="G15" i="7"/>
  <c r="H15" i="7"/>
  <c r="I15" i="7"/>
  <c r="J15" i="7"/>
  <c r="K15" i="7"/>
  <c r="C16" i="7"/>
  <c r="D16" i="7"/>
  <c r="E16" i="7"/>
  <c r="F16" i="7"/>
  <c r="G16" i="7"/>
  <c r="H16" i="7"/>
  <c r="I16" i="7"/>
  <c r="J16" i="7"/>
  <c r="K16" i="7"/>
  <c r="C17" i="7"/>
  <c r="D17" i="7"/>
  <c r="E17" i="7"/>
  <c r="F17" i="7"/>
  <c r="G17" i="7"/>
  <c r="H17" i="7"/>
  <c r="I17" i="7"/>
  <c r="J17" i="7"/>
  <c r="K17" i="7"/>
  <c r="C18" i="7"/>
  <c r="D18" i="7"/>
  <c r="E18" i="7"/>
  <c r="F18" i="7"/>
  <c r="G18" i="7"/>
  <c r="H18" i="7"/>
  <c r="I18" i="7"/>
  <c r="J18" i="7"/>
  <c r="K18" i="7"/>
  <c r="C19" i="7"/>
  <c r="D19" i="7"/>
  <c r="E19" i="7"/>
  <c r="F19" i="7"/>
  <c r="G19" i="7"/>
  <c r="H19" i="7"/>
  <c r="I19" i="7"/>
  <c r="J19" i="7"/>
  <c r="K19" i="7"/>
  <c r="C20" i="7"/>
  <c r="D20" i="7"/>
  <c r="E20" i="7"/>
  <c r="F20" i="7"/>
  <c r="G20" i="7"/>
  <c r="H20" i="7"/>
  <c r="I20" i="7"/>
  <c r="J20" i="7"/>
  <c r="K20" i="7"/>
  <c r="C21" i="7"/>
  <c r="D21" i="7"/>
  <c r="E21" i="7"/>
  <c r="F21" i="7"/>
  <c r="G21" i="7"/>
  <c r="H21" i="7"/>
  <c r="I21" i="7"/>
  <c r="J21" i="7"/>
  <c r="K21" i="7"/>
  <c r="C22" i="7"/>
  <c r="D22" i="7"/>
  <c r="E22" i="7"/>
  <c r="F22" i="7"/>
  <c r="G22" i="7"/>
  <c r="H22" i="7"/>
  <c r="I22" i="7"/>
  <c r="J22" i="7"/>
  <c r="K22" i="7"/>
  <c r="C23" i="7"/>
  <c r="D23" i="7"/>
  <c r="E23" i="7"/>
  <c r="F23" i="7"/>
  <c r="G23" i="7"/>
  <c r="H23" i="7"/>
  <c r="I23" i="7"/>
  <c r="J23" i="7"/>
  <c r="K23" i="7"/>
  <c r="C24" i="7"/>
  <c r="D24" i="7"/>
  <c r="E24" i="7"/>
  <c r="F24" i="7"/>
  <c r="G24" i="7"/>
  <c r="H24" i="7"/>
  <c r="I24" i="7"/>
  <c r="J24" i="7"/>
  <c r="K24" i="7"/>
  <c r="C25" i="7"/>
  <c r="D25" i="7"/>
  <c r="E25" i="7"/>
  <c r="F25" i="7"/>
  <c r="G25" i="7"/>
  <c r="H25" i="7"/>
  <c r="I25" i="7"/>
  <c r="J25" i="7"/>
  <c r="K25" i="7"/>
  <c r="C26" i="7"/>
  <c r="D26" i="7"/>
  <c r="E26" i="7"/>
  <c r="F26" i="7"/>
  <c r="G26" i="7"/>
  <c r="H26" i="7"/>
  <c r="I26" i="7"/>
  <c r="J26" i="7"/>
  <c r="K26" i="7"/>
  <c r="C27" i="7"/>
  <c r="D27" i="7"/>
  <c r="E27" i="7"/>
  <c r="F27" i="7"/>
  <c r="G27" i="7"/>
  <c r="H27" i="7"/>
  <c r="I27" i="7"/>
  <c r="J27" i="7"/>
  <c r="K27" i="7"/>
  <c r="C28" i="7"/>
  <c r="D28" i="7"/>
  <c r="E28" i="7"/>
  <c r="F28" i="7"/>
  <c r="G28" i="7"/>
  <c r="H28" i="7"/>
  <c r="I28" i="7"/>
  <c r="J28" i="7"/>
  <c r="K28" i="7"/>
  <c r="C29" i="7"/>
  <c r="D29" i="7"/>
  <c r="E29" i="7"/>
  <c r="F29" i="7"/>
  <c r="G29" i="7"/>
  <c r="H29" i="7"/>
  <c r="I29" i="7"/>
  <c r="J29" i="7"/>
  <c r="K29" i="7"/>
  <c r="C30" i="7"/>
  <c r="D30" i="7"/>
  <c r="E30" i="7"/>
  <c r="F30" i="7"/>
  <c r="G30" i="7"/>
  <c r="H30" i="7"/>
  <c r="I30" i="7"/>
  <c r="J30" i="7"/>
  <c r="K30" i="7"/>
  <c r="C31" i="7"/>
  <c r="D31" i="7"/>
  <c r="E31" i="7"/>
  <c r="F31" i="7"/>
  <c r="G31" i="7"/>
  <c r="H31" i="7"/>
  <c r="I31" i="7"/>
  <c r="J31" i="7"/>
  <c r="K31" i="7"/>
  <c r="C32" i="7"/>
  <c r="D32" i="7"/>
  <c r="E32" i="7"/>
  <c r="F32" i="7"/>
  <c r="G32" i="7"/>
  <c r="H32" i="7"/>
  <c r="I32" i="7"/>
  <c r="J32" i="7"/>
  <c r="K32" i="7"/>
  <c r="C33" i="7"/>
  <c r="D33" i="7"/>
  <c r="E33" i="7"/>
  <c r="F33" i="7"/>
  <c r="G33" i="7"/>
  <c r="H33" i="7"/>
  <c r="I33" i="7"/>
  <c r="J33" i="7"/>
  <c r="K33" i="7"/>
  <c r="C34" i="7"/>
  <c r="D34" i="7"/>
  <c r="E34" i="7"/>
  <c r="F34" i="7"/>
  <c r="G34" i="7"/>
  <c r="H34" i="7"/>
  <c r="I34" i="7"/>
  <c r="J34" i="7"/>
  <c r="K34" i="7"/>
  <c r="C35" i="7"/>
  <c r="D35" i="7"/>
  <c r="E35" i="7"/>
  <c r="F35" i="7"/>
  <c r="G35" i="7"/>
  <c r="H35" i="7"/>
  <c r="I35" i="7"/>
  <c r="J35" i="7"/>
  <c r="K35" i="7"/>
  <c r="C36" i="7"/>
  <c r="D36" i="7"/>
  <c r="E36" i="7"/>
  <c r="F36" i="7"/>
  <c r="G36" i="7"/>
  <c r="H36" i="7"/>
  <c r="I36" i="7"/>
  <c r="J36" i="7"/>
  <c r="K36" i="7"/>
  <c r="C37" i="7"/>
  <c r="D37" i="7"/>
  <c r="E37" i="7"/>
  <c r="F37" i="7"/>
  <c r="G37" i="7"/>
  <c r="H37" i="7"/>
  <c r="I37" i="7"/>
  <c r="J37" i="7"/>
  <c r="K37" i="7"/>
  <c r="C38" i="7"/>
  <c r="D38" i="7"/>
  <c r="E38" i="7"/>
  <c r="F38" i="7"/>
  <c r="G38" i="7"/>
  <c r="H38" i="7"/>
  <c r="I38" i="7"/>
  <c r="J38" i="7"/>
  <c r="K38" i="7"/>
  <c r="C39" i="7"/>
  <c r="D39" i="7"/>
  <c r="E39" i="7"/>
  <c r="F39" i="7"/>
  <c r="G39" i="7"/>
  <c r="H39" i="7"/>
  <c r="I39" i="7"/>
  <c r="J39" i="7"/>
  <c r="K39" i="7"/>
  <c r="C40" i="7"/>
  <c r="D40" i="7"/>
  <c r="E40" i="7"/>
  <c r="F40" i="7"/>
  <c r="G40" i="7"/>
  <c r="H40" i="7"/>
  <c r="I40" i="7"/>
  <c r="J40" i="7"/>
  <c r="K40" i="7"/>
  <c r="C41" i="7"/>
  <c r="D41" i="7"/>
  <c r="E41" i="7"/>
  <c r="F41" i="7"/>
  <c r="G41" i="7"/>
  <c r="H41" i="7"/>
  <c r="I41" i="7"/>
  <c r="J41" i="7"/>
  <c r="K41" i="7"/>
  <c r="C42" i="7"/>
  <c r="D42" i="7"/>
  <c r="E42" i="7"/>
  <c r="F42" i="7"/>
  <c r="G42" i="7"/>
  <c r="H42" i="7"/>
  <c r="I42" i="7"/>
  <c r="J42" i="7"/>
  <c r="K42" i="7"/>
  <c r="C12" i="7"/>
  <c r="B42" i="7"/>
  <c r="B43" i="7"/>
  <c r="B35" i="7"/>
  <c r="B36" i="7"/>
  <c r="B37" i="7"/>
  <c r="B38" i="7"/>
  <c r="B39" i="7"/>
  <c r="B40" i="7"/>
  <c r="B41" i="7"/>
  <c r="B25" i="7"/>
  <c r="B26" i="7"/>
  <c r="B27" i="7"/>
  <c r="B28" i="7"/>
  <c r="B29" i="7"/>
  <c r="B30" i="7"/>
  <c r="B31" i="7"/>
  <c r="B32" i="7"/>
  <c r="B33" i="7"/>
  <c r="B34" i="7"/>
  <c r="B13" i="7"/>
  <c r="B14" i="7"/>
  <c r="B15" i="7"/>
  <c r="B16" i="7"/>
  <c r="B17" i="7"/>
  <c r="B18" i="7"/>
  <c r="B19" i="7"/>
  <c r="B20" i="7"/>
  <c r="B21" i="7"/>
  <c r="B22" i="7"/>
  <c r="B23" i="7"/>
  <c r="B24" i="7"/>
  <c r="B12" i="7"/>
  <c r="E44" i="9"/>
  <c r="E14" i="9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8" i="8"/>
  <c r="B3" i="9" a="1"/>
  <c r="B3" i="9" s="1"/>
  <c r="B13" i="8"/>
  <c r="C13" i="8"/>
  <c r="D13" i="8"/>
  <c r="E13" i="8"/>
  <c r="F13" i="8"/>
  <c r="B14" i="8"/>
  <c r="C14" i="8"/>
  <c r="D14" i="8"/>
  <c r="E14" i="8"/>
  <c r="F14" i="8"/>
  <c r="B15" i="8"/>
  <c r="C15" i="8"/>
  <c r="D15" i="8"/>
  <c r="E15" i="8"/>
  <c r="F15" i="8"/>
  <c r="B16" i="8"/>
  <c r="C16" i="8"/>
  <c r="D16" i="8"/>
  <c r="E16" i="8"/>
  <c r="F16" i="8"/>
  <c r="B17" i="8"/>
  <c r="C17" i="8"/>
  <c r="D17" i="8"/>
  <c r="E17" i="8"/>
  <c r="F17" i="8"/>
  <c r="B18" i="8"/>
  <c r="C18" i="8"/>
  <c r="D18" i="8"/>
  <c r="E18" i="8"/>
  <c r="F18" i="8"/>
  <c r="B19" i="8"/>
  <c r="C19" i="8"/>
  <c r="D19" i="8"/>
  <c r="E19" i="8"/>
  <c r="F19" i="8"/>
  <c r="B20" i="8"/>
  <c r="C20" i="8"/>
  <c r="D20" i="8"/>
  <c r="E20" i="8"/>
  <c r="F20" i="8"/>
  <c r="B21" i="8"/>
  <c r="C21" i="8"/>
  <c r="D21" i="8"/>
  <c r="E21" i="8"/>
  <c r="F21" i="8"/>
  <c r="B22" i="8"/>
  <c r="C22" i="8"/>
  <c r="D22" i="8"/>
  <c r="E22" i="8"/>
  <c r="F22" i="8"/>
  <c r="B23" i="8"/>
  <c r="C23" i="8"/>
  <c r="D23" i="8"/>
  <c r="E23" i="8"/>
  <c r="F23" i="8"/>
  <c r="B24" i="8"/>
  <c r="C24" i="8"/>
  <c r="D24" i="8"/>
  <c r="E24" i="8"/>
  <c r="F24" i="8"/>
  <c r="B25" i="8"/>
  <c r="C25" i="8"/>
  <c r="D25" i="8"/>
  <c r="E25" i="8"/>
  <c r="F25" i="8"/>
  <c r="B26" i="8"/>
  <c r="C26" i="8"/>
  <c r="D26" i="8"/>
  <c r="E26" i="8"/>
  <c r="F26" i="8"/>
  <c r="B27" i="8"/>
  <c r="C27" i="8"/>
  <c r="D27" i="8"/>
  <c r="E27" i="8"/>
  <c r="F27" i="8"/>
  <c r="B28" i="8"/>
  <c r="C28" i="8"/>
  <c r="D28" i="8"/>
  <c r="E28" i="8"/>
  <c r="F28" i="8"/>
  <c r="B29" i="8"/>
  <c r="C29" i="8"/>
  <c r="D29" i="8"/>
  <c r="E29" i="8"/>
  <c r="F29" i="8"/>
  <c r="B30" i="8"/>
  <c r="C30" i="8"/>
  <c r="D30" i="8"/>
  <c r="E30" i="8"/>
  <c r="F30" i="8"/>
  <c r="B31" i="8"/>
  <c r="C31" i="8"/>
  <c r="D31" i="8"/>
  <c r="E31" i="8"/>
  <c r="F31" i="8"/>
  <c r="B32" i="8"/>
  <c r="C32" i="8"/>
  <c r="D32" i="8"/>
  <c r="E32" i="8"/>
  <c r="F32" i="8"/>
  <c r="B33" i="8"/>
  <c r="C33" i="8"/>
  <c r="D33" i="8"/>
  <c r="E33" i="8"/>
  <c r="F33" i="8"/>
  <c r="B34" i="8"/>
  <c r="C34" i="8"/>
  <c r="D34" i="8"/>
  <c r="E34" i="8"/>
  <c r="F34" i="8"/>
  <c r="B35" i="8"/>
  <c r="C35" i="8"/>
  <c r="D35" i="8"/>
  <c r="E35" i="8"/>
  <c r="F35" i="8"/>
  <c r="B36" i="8"/>
  <c r="C36" i="8"/>
  <c r="D36" i="8"/>
  <c r="E36" i="8"/>
  <c r="F36" i="8"/>
  <c r="B37" i="8"/>
  <c r="C37" i="8"/>
  <c r="D37" i="8"/>
  <c r="E37" i="8"/>
  <c r="F37" i="8"/>
  <c r="B38" i="8"/>
  <c r="C38" i="8"/>
  <c r="D38" i="8"/>
  <c r="E38" i="8"/>
  <c r="F38" i="8"/>
  <c r="B39" i="8"/>
  <c r="C39" i="8"/>
  <c r="D39" i="8"/>
  <c r="E39" i="8"/>
  <c r="F39" i="8"/>
  <c r="B40" i="8"/>
  <c r="C40" i="8"/>
  <c r="D40" i="8"/>
  <c r="E40" i="8"/>
  <c r="F40" i="8"/>
  <c r="B41" i="8"/>
  <c r="C41" i="8"/>
  <c r="D41" i="8"/>
  <c r="E41" i="8"/>
  <c r="F41" i="8"/>
  <c r="B42" i="8"/>
  <c r="C42" i="8"/>
  <c r="D42" i="8"/>
  <c r="E42" i="8"/>
  <c r="F42" i="8"/>
  <c r="B43" i="8"/>
  <c r="C43" i="8"/>
  <c r="D43" i="8"/>
  <c r="E43" i="8"/>
  <c r="F43" i="8"/>
  <c r="B44" i="8"/>
  <c r="C44" i="8"/>
  <c r="D44" i="8"/>
  <c r="E44" i="8"/>
  <c r="F44" i="8"/>
  <c r="B45" i="8"/>
  <c r="C45" i="8"/>
  <c r="D45" i="8"/>
  <c r="E45" i="8"/>
  <c r="F45" i="8"/>
  <c r="B46" i="8"/>
  <c r="C46" i="8"/>
  <c r="D46" i="8"/>
  <c r="E46" i="8"/>
  <c r="F46" i="8"/>
  <c r="B47" i="8"/>
  <c r="C47" i="8"/>
  <c r="D47" i="8"/>
  <c r="E47" i="8"/>
  <c r="F47" i="8"/>
  <c r="B9" i="8"/>
  <c r="C9" i="8"/>
  <c r="D9" i="8"/>
  <c r="E9" i="8"/>
  <c r="F9" i="8"/>
  <c r="B10" i="8"/>
  <c r="C10" i="8"/>
  <c r="D10" i="8"/>
  <c r="E10" i="8"/>
  <c r="F10" i="8"/>
  <c r="B11" i="8"/>
  <c r="C11" i="8"/>
  <c r="D11" i="8"/>
  <c r="E11" i="8"/>
  <c r="F11" i="8"/>
  <c r="B12" i="8"/>
  <c r="C12" i="8"/>
  <c r="D12" i="8"/>
  <c r="E12" i="8"/>
  <c r="F12" i="8"/>
  <c r="F8" i="8"/>
  <c r="C8" i="8"/>
  <c r="D8" i="8"/>
  <c r="E8" i="8"/>
  <c r="B8" i="8"/>
  <c r="H5" i="3"/>
  <c r="H50" i="6"/>
  <c r="J12" i="7"/>
  <c r="I11" i="7"/>
  <c r="I12" i="7"/>
  <c r="H10" i="7"/>
  <c r="H11" i="7"/>
  <c r="H12" i="7"/>
  <c r="G9" i="7"/>
  <c r="G10" i="7"/>
  <c r="G11" i="7"/>
  <c r="G12" i="7"/>
  <c r="F8" i="7"/>
  <c r="F9" i="7"/>
  <c r="F10" i="7"/>
  <c r="F11" i="7"/>
  <c r="F12" i="7"/>
  <c r="E7" i="7"/>
  <c r="E8" i="7"/>
  <c r="E9" i="7"/>
  <c r="E10" i="7"/>
  <c r="E11" i="7"/>
  <c r="E12" i="7"/>
  <c r="D6" i="7"/>
  <c r="D7" i="7"/>
  <c r="D8" i="7"/>
  <c r="D9" i="7"/>
  <c r="D10" i="7"/>
  <c r="D11" i="7"/>
  <c r="D12" i="7"/>
  <c r="C5" i="7"/>
  <c r="C6" i="7"/>
  <c r="C7" i="7"/>
  <c r="C8" i="7"/>
  <c r="C9" i="7"/>
  <c r="C10" i="7"/>
  <c r="C11" i="7"/>
  <c r="J11" i="7"/>
  <c r="I10" i="7"/>
  <c r="H9" i="7"/>
  <c r="G8" i="7"/>
  <c r="F7" i="7"/>
  <c r="E6" i="7"/>
  <c r="D5" i="7"/>
  <c r="C4" i="7"/>
  <c r="B3" i="7"/>
  <c r="B4" i="7"/>
  <c r="L6" i="7"/>
  <c r="B5" i="7"/>
  <c r="B6" i="7"/>
  <c r="B7" i="7"/>
  <c r="B8" i="7"/>
  <c r="B9" i="7"/>
  <c r="B10" i="7"/>
  <c r="B11" i="7"/>
  <c r="L4" i="7"/>
  <c r="L5" i="7"/>
  <c r="L7" i="7"/>
  <c r="L9" i="7"/>
  <c r="L3" i="7"/>
  <c r="C15" i="9" l="1"/>
  <c r="E15" i="9" s="1"/>
  <c r="C31" i="9"/>
  <c r="E31" i="9" s="1"/>
  <c r="C23" i="9"/>
  <c r="E23" i="9" s="1"/>
  <c r="C18" i="9"/>
  <c r="E18" i="9" s="1"/>
  <c r="C37" i="9"/>
  <c r="E37" i="9" s="1"/>
  <c r="C29" i="9"/>
  <c r="E29" i="9" s="1"/>
  <c r="C21" i="9"/>
  <c r="E21" i="9" s="1"/>
  <c r="C13" i="9"/>
  <c r="E13" i="9" s="1"/>
  <c r="C39" i="9"/>
  <c r="E39" i="9" s="1"/>
  <c r="C26" i="9"/>
  <c r="E26" i="9" s="1"/>
  <c r="C11" i="9"/>
  <c r="E11" i="9" s="1"/>
  <c r="C7" i="9"/>
  <c r="E7" i="9" s="1"/>
  <c r="C42" i="9"/>
  <c r="E42" i="9" s="1"/>
  <c r="C38" i="9"/>
  <c r="E38" i="9" s="1"/>
  <c r="C34" i="9"/>
  <c r="E34" i="9" s="1"/>
  <c r="C30" i="9"/>
  <c r="E30" i="9" s="1"/>
  <c r="C22" i="9"/>
  <c r="E22" i="9" s="1"/>
  <c r="C14" i="9"/>
  <c r="C10" i="9"/>
  <c r="E10" i="9" s="1"/>
  <c r="C3" i="9"/>
  <c r="E3" i="9" s="1"/>
  <c r="C4" i="9"/>
  <c r="E4" i="9" s="1"/>
  <c r="C35" i="9"/>
  <c r="E35" i="9" s="1"/>
  <c r="C27" i="9"/>
  <c r="E27" i="9" s="1"/>
  <c r="C41" i="9"/>
  <c r="E41" i="9" s="1"/>
  <c r="C33" i="9"/>
  <c r="E33" i="9" s="1"/>
  <c r="C25" i="9"/>
  <c r="E25" i="9" s="1"/>
  <c r="C17" i="9"/>
  <c r="E17" i="9" s="1"/>
  <c r="C9" i="9"/>
  <c r="E9" i="9" s="1"/>
  <c r="C6" i="9"/>
  <c r="E6" i="9" s="1"/>
  <c r="C19" i="9"/>
  <c r="E19" i="9" s="1"/>
  <c r="C5" i="9"/>
  <c r="E5" i="9" s="1"/>
  <c r="C40" i="9"/>
  <c r="E40" i="9" s="1"/>
  <c r="C36" i="9"/>
  <c r="E36" i="9" s="1"/>
  <c r="C32" i="9"/>
  <c r="E32" i="9" s="1"/>
  <c r="C28" i="9"/>
  <c r="E28" i="9" s="1"/>
  <c r="C24" i="9"/>
  <c r="E24" i="9" s="1"/>
  <c r="C20" i="9"/>
  <c r="E20" i="9" s="1"/>
  <c r="C16" i="9"/>
  <c r="E16" i="9" s="1"/>
  <c r="C12" i="9"/>
  <c r="E12" i="9" s="1"/>
  <c r="C8" i="9"/>
  <c r="E8" i="9" s="1"/>
  <c r="L12" i="7"/>
  <c r="L11" i="7"/>
  <c r="L10" i="7"/>
  <c r="L8" i="7"/>
  <c r="B4" i="5"/>
  <c r="F7" i="6" s="1"/>
  <c r="B5" i="5"/>
  <c r="F8" i="6" s="1"/>
  <c r="B6" i="5"/>
  <c r="F9" i="6" s="1"/>
  <c r="B7" i="5"/>
  <c r="F10" i="6" s="1"/>
  <c r="B8" i="5"/>
  <c r="F11" i="6" s="1"/>
  <c r="B9" i="5"/>
  <c r="F12" i="6" s="1"/>
  <c r="B10" i="5"/>
  <c r="F13" i="6" s="1"/>
  <c r="B11" i="5"/>
  <c r="F14" i="6" s="1"/>
  <c r="B12" i="5"/>
  <c r="F15" i="6" s="1"/>
  <c r="B13" i="5"/>
  <c r="F16" i="6" s="1"/>
  <c r="B14" i="5"/>
  <c r="F17" i="6" s="1"/>
  <c r="B15" i="5"/>
  <c r="F18" i="6" s="1"/>
  <c r="B16" i="5"/>
  <c r="F19" i="6" s="1"/>
  <c r="B17" i="5"/>
  <c r="F20" i="6" s="1"/>
  <c r="B18" i="5"/>
  <c r="F21" i="6" s="1"/>
  <c r="B19" i="5"/>
  <c r="F22" i="6" s="1"/>
  <c r="B20" i="5"/>
  <c r="F23" i="6" s="1"/>
  <c r="B21" i="5"/>
  <c r="F24" i="6" s="1"/>
  <c r="B22" i="5"/>
  <c r="F25" i="6" s="1"/>
  <c r="B23" i="5"/>
  <c r="F26" i="6" s="1"/>
  <c r="B24" i="5"/>
  <c r="F27" i="6" s="1"/>
  <c r="B25" i="5"/>
  <c r="F28" i="6" s="1"/>
  <c r="B26" i="5"/>
  <c r="F29" i="6" s="1"/>
  <c r="B27" i="5"/>
  <c r="F30" i="6" s="1"/>
  <c r="B28" i="5"/>
  <c r="F31" i="6" s="1"/>
  <c r="B29" i="5"/>
  <c r="F32" i="6" s="1"/>
  <c r="B30" i="5"/>
  <c r="F33" i="6" s="1"/>
  <c r="B31" i="5"/>
  <c r="F34" i="6" s="1"/>
  <c r="B32" i="5"/>
  <c r="F35" i="6" s="1"/>
  <c r="B33" i="5"/>
  <c r="F36" i="6" s="1"/>
  <c r="B34" i="5"/>
  <c r="F37" i="6" s="1"/>
  <c r="B35" i="5"/>
  <c r="F38" i="6" s="1"/>
  <c r="B36" i="5"/>
  <c r="F39" i="6" s="1"/>
  <c r="B37" i="5"/>
  <c r="F40" i="6" s="1"/>
  <c r="B38" i="5"/>
  <c r="F41" i="6" s="1"/>
  <c r="B39" i="5"/>
  <c r="F42" i="6" s="1"/>
  <c r="B40" i="5"/>
  <c r="F43" i="6" s="1"/>
  <c r="B41" i="5"/>
  <c r="F44" i="6" s="1"/>
  <c r="B42" i="5"/>
  <c r="F45" i="6" s="1"/>
  <c r="B3" i="5"/>
  <c r="F6" i="6" s="1"/>
  <c r="C4" i="4"/>
  <c r="E7" i="6" s="1"/>
  <c r="C5" i="4"/>
  <c r="E8" i="6" s="1"/>
  <c r="C6" i="4"/>
  <c r="E9" i="6" s="1"/>
  <c r="C7" i="4"/>
  <c r="E10" i="6" s="1"/>
  <c r="C8" i="4"/>
  <c r="E11" i="6" s="1"/>
  <c r="C9" i="4"/>
  <c r="E12" i="6" s="1"/>
  <c r="C10" i="4"/>
  <c r="E13" i="6" s="1"/>
  <c r="C11" i="4"/>
  <c r="E14" i="6" s="1"/>
  <c r="C12" i="4"/>
  <c r="E15" i="6" s="1"/>
  <c r="C13" i="4"/>
  <c r="E16" i="6" s="1"/>
  <c r="C14" i="4"/>
  <c r="E17" i="6" s="1"/>
  <c r="C15" i="4"/>
  <c r="E18" i="6" s="1"/>
  <c r="C16" i="4"/>
  <c r="E19" i="6" s="1"/>
  <c r="C17" i="4"/>
  <c r="E20" i="6" s="1"/>
  <c r="C18" i="4"/>
  <c r="E21" i="6" s="1"/>
  <c r="C19" i="4"/>
  <c r="E22" i="6" s="1"/>
  <c r="C20" i="4"/>
  <c r="E23" i="6" s="1"/>
  <c r="C21" i="4"/>
  <c r="E24" i="6" s="1"/>
  <c r="C22" i="4"/>
  <c r="E25" i="6" s="1"/>
  <c r="C23" i="4"/>
  <c r="E26" i="6" s="1"/>
  <c r="C24" i="4"/>
  <c r="E27" i="6" s="1"/>
  <c r="C25" i="4"/>
  <c r="E28" i="6" s="1"/>
  <c r="C26" i="4"/>
  <c r="E29" i="6" s="1"/>
  <c r="C27" i="4"/>
  <c r="E30" i="6" s="1"/>
  <c r="C28" i="4"/>
  <c r="E31" i="6" s="1"/>
  <c r="C29" i="4"/>
  <c r="E32" i="6" s="1"/>
  <c r="C30" i="4"/>
  <c r="E33" i="6" s="1"/>
  <c r="C31" i="4"/>
  <c r="E34" i="6" s="1"/>
  <c r="C32" i="4"/>
  <c r="E35" i="6" s="1"/>
  <c r="C33" i="4"/>
  <c r="E36" i="6" s="1"/>
  <c r="C34" i="4"/>
  <c r="E37" i="6" s="1"/>
  <c r="C35" i="4"/>
  <c r="E38" i="6" s="1"/>
  <c r="C36" i="4"/>
  <c r="E39" i="6" s="1"/>
  <c r="C37" i="4"/>
  <c r="E40" i="6" s="1"/>
  <c r="C38" i="4"/>
  <c r="E41" i="6" s="1"/>
  <c r="C39" i="4"/>
  <c r="E42" i="6" s="1"/>
  <c r="C40" i="4"/>
  <c r="E43" i="6" s="1"/>
  <c r="C41" i="4"/>
  <c r="E44" i="6" s="1"/>
  <c r="C42" i="4"/>
  <c r="E45" i="6" s="1"/>
  <c r="C3" i="4"/>
  <c r="E6" i="6" s="1"/>
  <c r="E3" i="2"/>
  <c r="C6" i="6" s="1"/>
  <c r="E4" i="3"/>
  <c r="D7" i="6" s="1"/>
  <c r="E5" i="3"/>
  <c r="D8" i="6" s="1"/>
  <c r="E6" i="3"/>
  <c r="D9" i="6" s="1"/>
  <c r="E7" i="3"/>
  <c r="D10" i="6" s="1"/>
  <c r="E8" i="3"/>
  <c r="D11" i="6" s="1"/>
  <c r="E9" i="3"/>
  <c r="D12" i="6" s="1"/>
  <c r="E10" i="3"/>
  <c r="D13" i="6" s="1"/>
  <c r="E11" i="3"/>
  <c r="D14" i="6" s="1"/>
  <c r="E12" i="3"/>
  <c r="D15" i="6" s="1"/>
  <c r="E13" i="3"/>
  <c r="D16" i="6" s="1"/>
  <c r="E14" i="3"/>
  <c r="D17" i="6" s="1"/>
  <c r="E15" i="3"/>
  <c r="D18" i="6" s="1"/>
  <c r="E16" i="3"/>
  <c r="D19" i="6" s="1"/>
  <c r="E17" i="3"/>
  <c r="D20" i="6" s="1"/>
  <c r="E18" i="3"/>
  <c r="D21" i="6" s="1"/>
  <c r="E19" i="3"/>
  <c r="D22" i="6" s="1"/>
  <c r="E20" i="3"/>
  <c r="D23" i="6" s="1"/>
  <c r="E21" i="3"/>
  <c r="D24" i="6" s="1"/>
  <c r="E22" i="3"/>
  <c r="D25" i="6" s="1"/>
  <c r="E23" i="3"/>
  <c r="D26" i="6" s="1"/>
  <c r="E24" i="3"/>
  <c r="D27" i="6" s="1"/>
  <c r="E25" i="3"/>
  <c r="D28" i="6" s="1"/>
  <c r="E26" i="3"/>
  <c r="D29" i="6" s="1"/>
  <c r="E27" i="3"/>
  <c r="D30" i="6" s="1"/>
  <c r="E28" i="3"/>
  <c r="D31" i="6" s="1"/>
  <c r="E29" i="3"/>
  <c r="D32" i="6" s="1"/>
  <c r="E30" i="3"/>
  <c r="D33" i="6" s="1"/>
  <c r="E31" i="3"/>
  <c r="D34" i="6" s="1"/>
  <c r="E32" i="3"/>
  <c r="D35" i="6" s="1"/>
  <c r="E33" i="3"/>
  <c r="D36" i="6" s="1"/>
  <c r="E34" i="3"/>
  <c r="D37" i="6" s="1"/>
  <c r="E35" i="3"/>
  <c r="D38" i="6" s="1"/>
  <c r="E36" i="3"/>
  <c r="D39" i="6" s="1"/>
  <c r="E37" i="3"/>
  <c r="D40" i="6" s="1"/>
  <c r="E38" i="3"/>
  <c r="D41" i="6" s="1"/>
  <c r="E39" i="3"/>
  <c r="D42" i="6" s="1"/>
  <c r="E40" i="3"/>
  <c r="D43" i="6" s="1"/>
  <c r="E41" i="3"/>
  <c r="D44" i="6" s="1"/>
  <c r="E42" i="3"/>
  <c r="D45" i="6" s="1"/>
  <c r="E3" i="3"/>
  <c r="D6" i="6" s="1"/>
  <c r="E4" i="2"/>
  <c r="C7" i="6" s="1"/>
  <c r="E5" i="2"/>
  <c r="C8" i="6" s="1"/>
  <c r="E6" i="2"/>
  <c r="C9" i="6" s="1"/>
  <c r="E7" i="2"/>
  <c r="C10" i="6" s="1"/>
  <c r="E8" i="2"/>
  <c r="C11" i="6" s="1"/>
  <c r="E9" i="2"/>
  <c r="C12" i="6" s="1"/>
  <c r="E10" i="2"/>
  <c r="C13" i="6" s="1"/>
  <c r="E11" i="2"/>
  <c r="C14" i="6" s="1"/>
  <c r="E12" i="2"/>
  <c r="C15" i="6" s="1"/>
  <c r="E13" i="2"/>
  <c r="C16" i="6" s="1"/>
  <c r="E14" i="2"/>
  <c r="C17" i="6" s="1"/>
  <c r="E15" i="2"/>
  <c r="C18" i="6" s="1"/>
  <c r="E16" i="2"/>
  <c r="C19" i="6" s="1"/>
  <c r="E17" i="2"/>
  <c r="C20" i="6" s="1"/>
  <c r="E18" i="2"/>
  <c r="C21" i="6" s="1"/>
  <c r="E19" i="2"/>
  <c r="C22" i="6" s="1"/>
  <c r="E20" i="2"/>
  <c r="C23" i="6" s="1"/>
  <c r="E21" i="2"/>
  <c r="C24" i="6" s="1"/>
  <c r="E22" i="2"/>
  <c r="C25" i="6" s="1"/>
  <c r="E23" i="2"/>
  <c r="C26" i="6" s="1"/>
  <c r="E24" i="2"/>
  <c r="C27" i="6" s="1"/>
  <c r="E25" i="2"/>
  <c r="C28" i="6" s="1"/>
  <c r="E26" i="2"/>
  <c r="C29" i="6" s="1"/>
  <c r="E27" i="2"/>
  <c r="C30" i="6" s="1"/>
  <c r="E28" i="2"/>
  <c r="C31" i="6" s="1"/>
  <c r="E29" i="2"/>
  <c r="C32" i="6" s="1"/>
  <c r="E30" i="2"/>
  <c r="C33" i="6" s="1"/>
  <c r="E31" i="2"/>
  <c r="C34" i="6" s="1"/>
  <c r="E32" i="2"/>
  <c r="C35" i="6" s="1"/>
  <c r="E33" i="2"/>
  <c r="C36" i="6" s="1"/>
  <c r="E34" i="2"/>
  <c r="C37" i="6" s="1"/>
  <c r="E35" i="2"/>
  <c r="C38" i="6" s="1"/>
  <c r="E36" i="2"/>
  <c r="C39" i="6" s="1"/>
  <c r="E37" i="2"/>
  <c r="C40" i="6" s="1"/>
  <c r="E38" i="2"/>
  <c r="C41" i="6" s="1"/>
  <c r="E39" i="2"/>
  <c r="C42" i="6" s="1"/>
  <c r="E40" i="2"/>
  <c r="C43" i="6" s="1"/>
  <c r="E41" i="2"/>
  <c r="C44" i="6" s="1"/>
  <c r="E42" i="2"/>
  <c r="C45" i="6" s="1"/>
  <c r="C4" i="1"/>
  <c r="B7" i="6" s="1"/>
  <c r="C5" i="1"/>
  <c r="B8" i="6" s="1"/>
  <c r="C6" i="1"/>
  <c r="B9" i="6" s="1"/>
  <c r="C7" i="1"/>
  <c r="B10" i="6" s="1"/>
  <c r="C8" i="1"/>
  <c r="B11" i="6" s="1"/>
  <c r="C9" i="1"/>
  <c r="B12" i="6" s="1"/>
  <c r="C10" i="1"/>
  <c r="B13" i="6" s="1"/>
  <c r="C11" i="1"/>
  <c r="B14" i="6" s="1"/>
  <c r="C12" i="1"/>
  <c r="B15" i="6" s="1"/>
  <c r="C13" i="1"/>
  <c r="B16" i="6" s="1"/>
  <c r="C14" i="1"/>
  <c r="B17" i="6" s="1"/>
  <c r="C15" i="1"/>
  <c r="B18" i="6" s="1"/>
  <c r="C16" i="1"/>
  <c r="B19" i="6" s="1"/>
  <c r="C17" i="1"/>
  <c r="B20" i="6" s="1"/>
  <c r="C18" i="1"/>
  <c r="B21" i="6" s="1"/>
  <c r="C19" i="1"/>
  <c r="B22" i="6" s="1"/>
  <c r="C20" i="1"/>
  <c r="B23" i="6" s="1"/>
  <c r="C21" i="1"/>
  <c r="B24" i="6" s="1"/>
  <c r="C22" i="1"/>
  <c r="B25" i="6" s="1"/>
  <c r="C23" i="1"/>
  <c r="B26" i="6" s="1"/>
  <c r="C24" i="1"/>
  <c r="B27" i="6" s="1"/>
  <c r="C25" i="1"/>
  <c r="B28" i="6" s="1"/>
  <c r="C26" i="1"/>
  <c r="B29" i="6" s="1"/>
  <c r="C27" i="1"/>
  <c r="B30" i="6" s="1"/>
  <c r="C28" i="1"/>
  <c r="B31" i="6" s="1"/>
  <c r="C29" i="1"/>
  <c r="B32" i="6" s="1"/>
  <c r="C30" i="1"/>
  <c r="B33" i="6" s="1"/>
  <c r="C31" i="1"/>
  <c r="B34" i="6" s="1"/>
  <c r="C32" i="1"/>
  <c r="B35" i="6" s="1"/>
  <c r="C33" i="1"/>
  <c r="B36" i="6" s="1"/>
  <c r="C34" i="1"/>
  <c r="B37" i="6" s="1"/>
  <c r="C35" i="1"/>
  <c r="B38" i="6" s="1"/>
  <c r="C36" i="1"/>
  <c r="B39" i="6" s="1"/>
  <c r="C37" i="1"/>
  <c r="B40" i="6" s="1"/>
  <c r="C38" i="1"/>
  <c r="B41" i="6" s="1"/>
  <c r="C39" i="1"/>
  <c r="B42" i="6" s="1"/>
  <c r="C40" i="1"/>
  <c r="B43" i="6" s="1"/>
  <c r="C41" i="1"/>
  <c r="B44" i="6" s="1"/>
  <c r="C42" i="1"/>
  <c r="B45" i="6" s="1"/>
  <c r="C3" i="1"/>
  <c r="B6" i="6" s="1"/>
  <c r="H41" i="6" l="1"/>
  <c r="H33" i="6"/>
  <c r="H25" i="6"/>
  <c r="H17" i="6"/>
  <c r="H9" i="6"/>
  <c r="H11" i="6"/>
  <c r="H39" i="6"/>
  <c r="H23" i="6"/>
  <c r="H15" i="6"/>
  <c r="H7" i="6"/>
  <c r="H38" i="6"/>
  <c r="H30" i="6"/>
  <c r="H14" i="6"/>
  <c r="H42" i="6"/>
  <c r="H31" i="6"/>
  <c r="H45" i="6"/>
  <c r="H37" i="6"/>
  <c r="H29" i="6"/>
  <c r="H21" i="6"/>
  <c r="H13" i="6"/>
  <c r="H24" i="6"/>
  <c r="H32" i="6"/>
  <c r="H40" i="6"/>
  <c r="H16" i="6"/>
  <c r="H43" i="6"/>
  <c r="H18" i="6"/>
  <c r="H26" i="6"/>
  <c r="H12" i="6"/>
  <c r="H35" i="6"/>
  <c r="H22" i="6"/>
  <c r="H8" i="6"/>
  <c r="H36" i="6"/>
  <c r="H20" i="6"/>
  <c r="H28" i="6"/>
  <c r="H27" i="6"/>
  <c r="H10" i="6"/>
  <c r="H34" i="6"/>
  <c r="H44" i="6"/>
  <c r="H19" i="6"/>
  <c r="H6" i="6"/>
  <c r="H47" i="6" l="1"/>
  <c r="H48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<sst xmlns="http://schemas.openxmlformats.org/spreadsheetml/2006/main" count="61" uniqueCount="40">
  <si>
    <t>Maize</t>
  </si>
  <si>
    <t>Potato</t>
  </si>
  <si>
    <t>Aggregate (tCO2e/yr)</t>
  </si>
  <si>
    <t>Wheat</t>
  </si>
  <si>
    <t>Barley</t>
  </si>
  <si>
    <t>Nth Soil type</t>
  </si>
  <si>
    <t>Ntu Soil type</t>
  </si>
  <si>
    <t>Nth</t>
  </si>
  <si>
    <t>Ntu</t>
  </si>
  <si>
    <t>Area (ha)</t>
  </si>
  <si>
    <t>Tea</t>
  </si>
  <si>
    <t>Napier</t>
  </si>
  <si>
    <t>Year</t>
  </si>
  <si>
    <t>Eor</t>
  </si>
  <si>
    <t>Lanyuak</t>
  </si>
  <si>
    <t>Mumberes</t>
  </si>
  <si>
    <t>Kabianga</t>
  </si>
  <si>
    <t>Kipsigis</t>
  </si>
  <si>
    <t>Conservative Buffer: 50% (20% buffer + 20% model uncertainty-deduction + 10% other updates)</t>
  </si>
  <si>
    <t>Net Total Project ERs (QA1)</t>
  </si>
  <si>
    <t>Avg/yr</t>
  </si>
  <si>
    <t>Total</t>
  </si>
  <si>
    <t xml:space="preserve">Total Coops --&gt; </t>
  </si>
  <si>
    <t>ER/yr</t>
  </si>
  <si>
    <t>10yr avg</t>
  </si>
  <si>
    <t xml:space="preserve"> Year </t>
  </si>
  <si>
    <t xml:space="preserve"> Eor </t>
  </si>
  <si>
    <t xml:space="preserve"> Lanyuak </t>
  </si>
  <si>
    <t xml:space="preserve"> Mumberes </t>
  </si>
  <si>
    <t xml:space="preserve"> Kabianga </t>
  </si>
  <si>
    <t xml:space="preserve"> Kipsigis </t>
  </si>
  <si>
    <t>Ers (tCO2e/ha/yr)</t>
  </si>
  <si>
    <t>Net Removals</t>
  </si>
  <si>
    <t>Net Reductions</t>
  </si>
  <si>
    <t>Total ERRs</t>
  </si>
  <si>
    <t xml:space="preserve"> Net Total Project ERs (QA3) </t>
  </si>
  <si>
    <t>Total (1st 10y)</t>
  </si>
  <si>
    <t>Avg/yr (1st 10y)</t>
  </si>
  <si>
    <t>Total (40y)</t>
  </si>
  <si>
    <t>Avg/yr (40y)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</si>
</sst>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theme="1"/>
      <name val="Aptos Narrow"/>
      <scheme val="minor"/>
    </font>
    <font>
      <sz val="10"/>
      <color theme="1"/>
      <name val="ArialMT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2" tint="-0.499984740745262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43" fontId="0" fillId="0" borderId="0" xfId="1" applyFont="1"/>
    <xf numFmtId="43" fontId="3" fillId="0" borderId="0" xfId="1" applyFont="1"/>
    <xf numFmtId="43" fontId="4" fillId="0" borderId="0" xfId="1" applyFont="1"/>
    <xf numFmtId="1" fontId="0" fillId="0" borderId="0" xfId="1" applyNumberFormat="1" applyFont="1"/>
    <xf numFmtId="0" fontId="5" fillId="0" borderId="0" xfId="0" applyFont="1"/>
    <xf numFmtId="43" fontId="0" fillId="0" borderId="0" xfId="0" applyNumberFormat="1"/>
    <xf numFmtId="43" fontId="7" fillId="0" borderId="0" xfId="0" applyNumberFormat="1" applyFont="1"/>
    <xf numFmtId="0" fontId="8" fillId="0" borderId="0" xfId="0" applyFont="1"/>
    <xf numFmtId="0" fontId="9" fillId="0" borderId="0" xfId="0" applyFont="1"/>
    <xf numFmtId="0" fontId="10" fillId="0" borderId="2" xfId="0" applyFont="1" applyBorder="1" applyAlignment="1">
      <alignment horizontal="center" vertical="top"/>
    </xf>
    <xf numFmtId="43" fontId="2" fillId="0" borderId="1" xfId="1" applyFont="1" applyBorder="1" applyAlignment="1">
      <alignment horizontal="center"/>
    </xf>
    <xf numFmtId="43" fontId="3" fillId="0" borderId="0" xfId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Net_Summary!$E$2</c:f>
              <c:strCache>
                <c:ptCount val="1"/>
                <c:pt idx="0">
                  <c:v>Total ERRs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Net_Summary!$A$3:$A$42</c:f>
              <c:numCache>
                <c:formatCode>General</c:formatCode>
                <c:ptCount val="4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</c:numCache>
            </c:numRef>
          </c:cat>
          <c:val>
            <c:numRef>
              <c:f>Net_Summary!$E$3:$E$42</c:f>
              <c:numCache>
                <c:formatCode>_(* #,##0.00_);_(* \(#,##0.00\);_(* "-"??_);_(@_)</c:formatCode>
                <c:ptCount val="40"/>
                <c:pt idx="0">
                  <c:v>716897.49590464914</c:v>
                </c:pt>
                <c:pt idx="1">
                  <c:v>384248.20275259414</c:v>
                </c:pt>
                <c:pt idx="2">
                  <c:v>246676.6997447084</c:v>
                </c:pt>
                <c:pt idx="3">
                  <c:v>172685.58126467557</c:v>
                </c:pt>
                <c:pt idx="4">
                  <c:v>131661.66708679614</c:v>
                </c:pt>
                <c:pt idx="5">
                  <c:v>107951.9248329667</c:v>
                </c:pt>
                <c:pt idx="6">
                  <c:v>93438.293158672561</c:v>
                </c:pt>
                <c:pt idx="7">
                  <c:v>83873.728278018927</c:v>
                </c:pt>
                <c:pt idx="8">
                  <c:v>77023.226956977087</c:v>
                </c:pt>
                <c:pt idx="9">
                  <c:v>71704.738765193179</c:v>
                </c:pt>
                <c:pt idx="10">
                  <c:v>67289.518105281881</c:v>
                </c:pt>
                <c:pt idx="11">
                  <c:v>63440.369881515981</c:v>
                </c:pt>
                <c:pt idx="12">
                  <c:v>59974.078186932362</c:v>
                </c:pt>
                <c:pt idx="13">
                  <c:v>56788.960646373293</c:v>
                </c:pt>
                <c:pt idx="14">
                  <c:v>53826.667447029671</c:v>
                </c:pt>
                <c:pt idx="15">
                  <c:v>51052.015083052858</c:v>
                </c:pt>
                <c:pt idx="16">
                  <c:v>48442.327143159942</c:v>
                </c:pt>
                <c:pt idx="17">
                  <c:v>45981.790185254868</c:v>
                </c:pt>
                <c:pt idx="18">
                  <c:v>43658.456717301568</c:v>
                </c:pt>
                <c:pt idx="19">
                  <c:v>41462.646342295448</c:v>
                </c:pt>
                <c:pt idx="20">
                  <c:v>39386.086085778625</c:v>
                </c:pt>
                <c:pt idx="21">
                  <c:v>37421.442083579517</c:v>
                </c:pt>
                <c:pt idx="22">
                  <c:v>35562.058968787285</c:v>
                </c:pt>
                <c:pt idx="23">
                  <c:v>33801.809926236383</c:v>
                </c:pt>
                <c:pt idx="24">
                  <c:v>32135.00610820252</c:v>
                </c:pt>
                <c:pt idx="25">
                  <c:v>30556.338246855328</c:v>
                </c:pt>
                <c:pt idx="26">
                  <c:v>29060.836049714439</c:v>
                </c:pt>
                <c:pt idx="27">
                  <c:v>27643.837702210138</c:v>
                </c:pt>
                <c:pt idx="28">
                  <c:v>26300.965364851781</c:v>
                </c:pt>
                <c:pt idx="29">
                  <c:v>25028.104439431485</c:v>
                </c:pt>
                <c:pt idx="30">
                  <c:v>23821.385380107185</c:v>
                </c:pt>
                <c:pt idx="31">
                  <c:v>22677.167358414223</c:v>
                </c:pt>
                <c:pt idx="32">
                  <c:v>21592.023376887737</c:v>
                </c:pt>
                <c:pt idx="33">
                  <c:v>20562.72658056856</c:v>
                </c:pt>
                <c:pt idx="34">
                  <c:v>19586.237600336495</c:v>
                </c:pt>
                <c:pt idx="35">
                  <c:v>18659.692809936241</c:v>
                </c:pt>
                <c:pt idx="36">
                  <c:v>17780.393406313353</c:v>
                </c:pt>
                <c:pt idx="37">
                  <c:v>16945.795240031057</c:v>
                </c:pt>
                <c:pt idx="38">
                  <c:v>16153.4993337696</c:v>
                </c:pt>
                <c:pt idx="39">
                  <c:v>15401.24303464601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CC-8447-9B56-B6FD5BCE0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5631023"/>
        <c:axId val="1756241087"/>
      </c:lineChart>
      <c:catAx>
        <c:axId val="1755631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6241087"/>
        <c:crosses val="autoZero"/>
        <c:auto val="1"/>
        <c:lblAlgn val="ctr"/>
        <c:lblOffset val="100"/>
        <c:noMultiLvlLbl val="0"/>
      </c:catAx>
      <c:valAx>
        <c:axId val="175624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631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ERs</a:t>
            </a:r>
            <a:r>
              <a:rPr lang="en-US" baseline="0"/>
              <a:t> by Cooperative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Summary_Removals!$B$5</c:f>
              <c:strCache>
                <c:ptCount val="1"/>
                <c:pt idx="0">
                  <c:v> Eor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Summary_Removals!$A$6:$A$45</c:f>
              <c:numCache>
                <c:formatCode>0</c:formatCode>
                <c:ptCount val="4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</c:numCache>
            </c:numRef>
          </c:cat>
          <c:val>
            <c:numRef>
              <c:f>Summary_Removals!$B$6:$B$45</c:f>
              <c:numCache>
                <c:formatCode>_(* #,##0.00_);_(* \(#,##0.00\);_(* "-"??_);_(@_)</c:formatCode>
                <c:ptCount val="40"/>
                <c:pt idx="0">
                  <c:v>96001.230848893785</c:v>
                </c:pt>
                <c:pt idx="1">
                  <c:v>54401.500502371171</c:v>
                </c:pt>
                <c:pt idx="2">
                  <c:v>37150.770866669729</c:v>
                </c:pt>
                <c:pt idx="3">
                  <c:v>27813.544972709446</c:v>
                </c:pt>
                <c:pt idx="4">
                  <c:v>22581.069184619755</c:v>
                </c:pt>
                <c:pt idx="5">
                  <c:v>19504.74126958743</c:v>
                </c:pt>
                <c:pt idx="6">
                  <c:v>17573.345054470279</c:v>
                </c:pt>
                <c:pt idx="7">
                  <c:v>16257.625350588529</c:v>
                </c:pt>
                <c:pt idx="8">
                  <c:v>15279.056088060963</c:v>
                </c:pt>
                <c:pt idx="9">
                  <c:v>14490.430890706753</c:v>
                </c:pt>
                <c:pt idx="10">
                  <c:v>13813.59295517586</c:v>
                </c:pt>
                <c:pt idx="11">
                  <c:v>13206.781292077674</c:v>
                </c:pt>
                <c:pt idx="12">
                  <c:v>12647.453487312418</c:v>
                </c:pt>
                <c:pt idx="13">
                  <c:v>12123.233316030906</c:v>
                </c:pt>
                <c:pt idx="14">
                  <c:v>11627.134801587712</c:v>
                </c:pt>
                <c:pt idx="15">
                  <c:v>11155.040454362061</c:v>
                </c:pt>
                <c:pt idx="16">
                  <c:v>10704.368742886607</c:v>
                </c:pt>
                <c:pt idx="17">
                  <c:v>10273.369302108651</c:v>
                </c:pt>
                <c:pt idx="18">
                  <c:v>9860.7496221277834</c:v>
                </c:pt>
                <c:pt idx="19">
                  <c:v>9465.4768403146918</c:v>
                </c:pt>
                <c:pt idx="20">
                  <c:v>9086.6720715125775</c:v>
                </c:pt>
                <c:pt idx="21">
                  <c:v>8723.5536737595758</c:v>
                </c:pt>
                <c:pt idx="22">
                  <c:v>8375.4064186025262</c:v>
                </c:pt>
                <c:pt idx="23">
                  <c:v>8041.5643982624406</c:v>
                </c:pt>
                <c:pt idx="24">
                  <c:v>7721.4012390776134</c:v>
                </c:pt>
                <c:pt idx="25">
                  <c:v>7414.324221017876</c:v>
                </c:pt>
                <c:pt idx="26">
                  <c:v>7119.7705038679669</c:v>
                </c:pt>
                <c:pt idx="27">
                  <c:v>6837.2045065434941</c:v>
                </c:pt>
                <c:pt idx="28">
                  <c:v>6566.1159329912898</c:v>
                </c:pt>
                <c:pt idx="29">
                  <c:v>6306.0181745283971</c:v>
                </c:pt>
                <c:pt idx="30">
                  <c:v>6056.4469434926796</c:v>
                </c:pt>
                <c:pt idx="31">
                  <c:v>5816.9590593762714</c:v>
                </c:pt>
                <c:pt idx="32">
                  <c:v>5587.1313437476465</c:v>
                </c:pt>
                <c:pt idx="33">
                  <c:v>5366.5595990233405</c:v>
                </c:pt>
                <c:pt idx="34">
                  <c:v>5154.8576561751688</c:v>
                </c:pt>
                <c:pt idx="35">
                  <c:v>4951.6564819045961</c:v>
                </c:pt>
                <c:pt idx="36">
                  <c:v>4756.6033387855132</c:v>
                </c:pt>
                <c:pt idx="37">
                  <c:v>4569.3609935896975</c:v>
                </c:pt>
                <c:pt idx="38">
                  <c:v>4389.6069699741929</c:v>
                </c:pt>
                <c:pt idx="39">
                  <c:v>4217.0328423398705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F3-234F-8854-9482024E4458}"/>
            </c:ext>
          </c:extLst>
        </c:ser>
        <c:ser>
          <c:idx val="1"/>
          <c:order val="1"/>
          <c:tx>
            <c:strRef>
              <c:f>Summary_Removals!$C$5</c:f>
              <c:strCache>
                <c:ptCount val="1"/>
                <c:pt idx="0">
                  <c:v> Lanyuak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Summary_Removals!$A$6:$A$45</c:f>
              <c:numCache>
                <c:formatCode>0</c:formatCode>
                <c:ptCount val="4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</c:numCache>
            </c:numRef>
          </c:cat>
          <c:val>
            <c:numRef>
              <c:f>Summary_Removals!$C$6:$C$45</c:f>
              <c:numCache>
                <c:formatCode>_(* #,##0.00_);_(* \(#,##0.00\);_(* "-"??_);_(@_)</c:formatCode>
                <c:ptCount val="40"/>
                <c:pt idx="0">
                  <c:v>91463.318422703655</c:v>
                </c:pt>
                <c:pt idx="1">
                  <c:v>51830.234791278628</c:v>
                </c:pt>
                <c:pt idx="2">
                  <c:v>35395.247396935025</c:v>
                </c:pt>
                <c:pt idx="3">
                  <c:v>26499.710044377804</c:v>
                </c:pt>
                <c:pt idx="4">
                  <c:v>21514.88246178746</c:v>
                </c:pt>
                <c:pt idx="5">
                  <c:v>18584.261980802716</c:v>
                </c:pt>
                <c:pt idx="6">
                  <c:v>16744.429245567066</c:v>
                </c:pt>
                <c:pt idx="7">
                  <c:v>15491.146815422353</c:v>
                </c:pt>
                <c:pt idx="8">
                  <c:v>14559.055620821135</c:v>
                </c:pt>
                <c:pt idx="9">
                  <c:v>13807.90915505703</c:v>
                </c:pt>
                <c:pt idx="10">
                  <c:v>13163.246524521039</c:v>
                </c:pt>
                <c:pt idx="11">
                  <c:v>12585.282123092027</c:v>
                </c:pt>
                <c:pt idx="12">
                  <c:v>12052.540340981395</c:v>
                </c:pt>
                <c:pt idx="13">
                  <c:v>11553.23109451569</c:v>
                </c:pt>
                <c:pt idx="14">
                  <c:v>11080.699660067648</c:v>
                </c:pt>
                <c:pt idx="15">
                  <c:v>10631.02413145508</c:v>
                </c:pt>
                <c:pt idx="16">
                  <c:v>10201.745891385084</c:v>
                </c:pt>
                <c:pt idx="17">
                  <c:v>9791.1981438320781</c:v>
                </c:pt>
                <c:pt idx="18">
                  <c:v>9398.1502554670205</c:v>
                </c:pt>
                <c:pt idx="19">
                  <c:v>9021.6189217049832</c:v>
                </c:pt>
                <c:pt idx="20">
                  <c:v>8660.7674954725917</c:v>
                </c:pt>
                <c:pt idx="21">
                  <c:v>8314.8519376031127</c:v>
                </c:pt>
                <c:pt idx="22">
                  <c:v>7983.1914468508394</c:v>
                </c:pt>
                <c:pt idx="23">
                  <c:v>7665.1521771040534</c:v>
                </c:pt>
                <c:pt idx="24">
                  <c:v>7360.1379152925938</c:v>
                </c:pt>
                <c:pt idx="25">
                  <c:v>7067.5844805720308</c:v>
                </c:pt>
                <c:pt idx="26">
                  <c:v>6786.9561304709987</c:v>
                </c:pt>
                <c:pt idx="27">
                  <c:v>6517.7430655672761</c:v>
                </c:pt>
                <c:pt idx="28">
                  <c:v>6259.4595500972864</c:v>
                </c:pt>
                <c:pt idx="29">
                  <c:v>6011.6423911361526</c:v>
                </c:pt>
                <c:pt idx="30">
                  <c:v>5773.8496380910965</c:v>
                </c:pt>
                <c:pt idx="31">
                  <c:v>5545.6594273999526</c:v>
                </c:pt>
                <c:pt idx="32">
                  <c:v>5326.6689308246532</c:v>
                </c:pt>
                <c:pt idx="33">
                  <c:v>5116.4933835707106</c:v>
                </c:pt>
                <c:pt idx="34">
                  <c:v>4914.7651780344277</c:v>
                </c:pt>
                <c:pt idx="35">
                  <c:v>4721.1330141550043</c:v>
                </c:pt>
                <c:pt idx="36">
                  <c:v>4535.2611001855894</c:v>
                </c:pt>
                <c:pt idx="37">
                  <c:v>4356.8283993253917</c:v>
                </c:pt>
                <c:pt idx="38">
                  <c:v>4185.5279185710624</c:v>
                </c:pt>
                <c:pt idx="39">
                  <c:v>4021.0660367591709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F3-234F-8854-9482024E4458}"/>
            </c:ext>
          </c:extLst>
        </c:ser>
        <c:ser>
          <c:idx val="2"/>
          <c:order val="2"/>
          <c:tx>
            <c:strRef>
              <c:f>Summary_Removals!$D$5</c:f>
              <c:strCache>
                <c:ptCount val="1"/>
                <c:pt idx="0">
                  <c:v> Mumberes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Summary_Removals!$A$6:$A$45</c:f>
              <c:numCache>
                <c:formatCode>0</c:formatCode>
                <c:ptCount val="4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</c:numCache>
            </c:numRef>
          </c:cat>
          <c:val>
            <c:numRef>
              <c:f>Summary_Removals!$D$6:$D$45</c:f>
              <c:numCache>
                <c:formatCode>_(* #,##0.00_);_(* \(#,##0.00\);_(* "-"??_);_(@_)</c:formatCode>
                <c:ptCount val="40"/>
                <c:pt idx="0">
                  <c:v>37369.636926424428</c:v>
                </c:pt>
                <c:pt idx="1">
                  <c:v>19646.167202611403</c:v>
                </c:pt>
                <c:pt idx="2">
                  <c:v>12350.923765294981</c:v>
                </c:pt>
                <c:pt idx="3">
                  <c:v>8456.0585492108694</c:v>
                </c:pt>
                <c:pt idx="4">
                  <c:v>6321.0477456158378</c:v>
                </c:pt>
                <c:pt idx="5">
                  <c:v>5107.6735884821865</c:v>
                </c:pt>
                <c:pt idx="6">
                  <c:v>4381.7003844011442</c:v>
                </c:pt>
                <c:pt idx="7">
                  <c:v>3916.2879501641919</c:v>
                </c:pt>
                <c:pt idx="8">
                  <c:v>3592.291427446125</c:v>
                </c:pt>
                <c:pt idx="9">
                  <c:v>3346.8626335983722</c:v>
                </c:pt>
                <c:pt idx="10">
                  <c:v>3146.6985656202182</c:v>
                </c:pt>
                <c:pt idx="11">
                  <c:v>2974.0415281642345</c:v>
                </c:pt>
                <c:pt idx="12">
                  <c:v>2819.3293079557807</c:v>
                </c:pt>
                <c:pt idx="13">
                  <c:v>2677.3292231233254</c:v>
                </c:pt>
                <c:pt idx="14">
                  <c:v>2545.102114621709</c:v>
                </c:pt>
                <c:pt idx="15">
                  <c:v>2420.9290147924539</c:v>
                </c:pt>
                <c:pt idx="16">
                  <c:v>2303.7447351169421</c:v>
                </c:pt>
                <c:pt idx="17">
                  <c:v>2192.8385597850788</c:v>
                </c:pt>
                <c:pt idx="18">
                  <c:v>2087.6957596163629</c:v>
                </c:pt>
                <c:pt idx="19">
                  <c:v>1987.9133901541188</c:v>
                </c:pt>
                <c:pt idx="20">
                  <c:v>1893.1553044483171</c:v>
                </c:pt>
                <c:pt idx="21">
                  <c:v>1803.1278900708526</c:v>
                </c:pt>
                <c:pt idx="22">
                  <c:v>1717.5667777095114</c:v>
                </c:pt>
                <c:pt idx="23">
                  <c:v>1636.2293750260644</c:v>
                </c:pt>
                <c:pt idx="24">
                  <c:v>1558.8905083718901</c:v>
                </c:pt>
                <c:pt idx="25">
                  <c:v>1485.3397360344193</c:v>
                </c:pt>
                <c:pt idx="26">
                  <c:v>1415.3795725800105</c:v>
                </c:pt>
                <c:pt idx="27">
                  <c:v>1348.8242206173168</c:v>
                </c:pt>
                <c:pt idx="28">
                  <c:v>1285.4985947152195</c:v>
                </c:pt>
                <c:pt idx="29">
                  <c:v>1225.2375218396292</c:v>
                </c:pt>
                <c:pt idx="30">
                  <c:v>1167.8850554181827</c:v>
                </c:pt>
                <c:pt idx="31">
                  <c:v>1113.293868148319</c:v>
                </c:pt>
                <c:pt idx="32">
                  <c:v>1061.3247036134269</c:v>
                </c:pt>
                <c:pt idx="33">
                  <c:v>1011.8458747791562</c:v>
                </c:pt>
                <c:pt idx="34">
                  <c:v>964.73280181969437</c:v>
                </c:pt>
                <c:pt idx="35">
                  <c:v>919.8675841297968</c:v>
                </c:pt>
                <c:pt idx="36">
                  <c:v>877.13860276155879</c:v>
                </c:pt>
                <c:pt idx="37">
                  <c:v>836.44015034376321</c:v>
                </c:pt>
                <c:pt idx="38">
                  <c:v>797.672086058167</c:v>
                </c:pt>
                <c:pt idx="39">
                  <c:v>760.73951359842454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F3-234F-8854-9482024E4458}"/>
            </c:ext>
          </c:extLst>
        </c:ser>
        <c:ser>
          <c:idx val="3"/>
          <c:order val="3"/>
          <c:tx>
            <c:strRef>
              <c:f>Summary_Removals!$E$5</c:f>
              <c:strCache>
                <c:ptCount val="1"/>
                <c:pt idx="0">
                  <c:v> Kabianga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Summary_Removals!$A$6:$A$45</c:f>
              <c:numCache>
                <c:formatCode>0</c:formatCode>
                <c:ptCount val="4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</c:numCache>
            </c:numRef>
          </c:cat>
          <c:val>
            <c:numRef>
              <c:f>Summary_Removals!$E$6:$E$45</c:f>
              <c:numCache>
                <c:formatCode>_(* #,##0.00_);_(* \(#,##0.00\);_(* "-"??_);_(@_)</c:formatCode>
                <c:ptCount val="40"/>
                <c:pt idx="0">
                  <c:v>298889.66426624666</c:v>
                </c:pt>
                <c:pt idx="1">
                  <c:v>156805.4706065862</c:v>
                </c:pt>
                <c:pt idx="2">
                  <c:v>98073.812690950916</c:v>
                </c:pt>
                <c:pt idx="3">
                  <c:v>66534.800681907713</c:v>
                </c:pt>
                <c:pt idx="4">
                  <c:v>49096.396878315085</c:v>
                </c:pt>
                <c:pt idx="5">
                  <c:v>39065.274364021418</c:v>
                </c:pt>
                <c:pt idx="6">
                  <c:v>32970.45235171097</c:v>
                </c:pt>
                <c:pt idx="7">
                  <c:v>28996.048617934648</c:v>
                </c:pt>
                <c:pt idx="8">
                  <c:v>26186.2696703113</c:v>
                </c:pt>
                <c:pt idx="9">
                  <c:v>24035.351205469589</c:v>
                </c:pt>
                <c:pt idx="10">
                  <c:v>22273.987995657011</c:v>
                </c:pt>
                <c:pt idx="11">
                  <c:v>20757.476083599788</c:v>
                </c:pt>
                <c:pt idx="12">
                  <c:v>19406.93512024948</c:v>
                </c:pt>
                <c:pt idx="13">
                  <c:v>18178.36033425176</c:v>
                </c:pt>
                <c:pt idx="14">
                  <c:v>17046.304500628303</c:v>
                </c:pt>
                <c:pt idx="15">
                  <c:v>15995.263080050316</c:v>
                </c:pt>
                <c:pt idx="16">
                  <c:v>15015.119416594554</c:v>
                </c:pt>
                <c:pt idx="17">
                  <c:v>14098.731424500698</c:v>
                </c:pt>
                <c:pt idx="18">
                  <c:v>13240.648577139207</c:v>
                </c:pt>
                <c:pt idx="19">
                  <c:v>12436.425961654386</c:v>
                </c:pt>
                <c:pt idx="20">
                  <c:v>11682.254084818462</c:v>
                </c:pt>
                <c:pt idx="21">
                  <c:v>10974.755959379165</c:v>
                </c:pt>
                <c:pt idx="22">
                  <c:v>10310.873073859155</c:v>
                </c:pt>
                <c:pt idx="23">
                  <c:v>9687.7988219693689</c:v>
                </c:pt>
                <c:pt idx="24">
                  <c:v>9102.9374812953502</c:v>
                </c:pt>
                <c:pt idx="25">
                  <c:v>8553.877133017395</c:v>
                </c:pt>
                <c:pt idx="26">
                  <c:v>8038.3703557952222</c:v>
                </c:pt>
                <c:pt idx="27">
                  <c:v>7554.3194027110685</c:v>
                </c:pt>
                <c:pt idx="28">
                  <c:v>7099.7640917266144</c:v>
                </c:pt>
                <c:pt idx="29">
                  <c:v>6672.871446290008</c:v>
                </c:pt>
                <c:pt idx="30">
                  <c:v>6271.9265512283573</c:v>
                </c:pt>
                <c:pt idx="31">
                  <c:v>5895.3243176425931</c:v>
                </c:pt>
                <c:pt idx="32">
                  <c:v>5541.5619734647053</c:v>
                </c:pt>
                <c:pt idx="33">
                  <c:v>5209.232163280627</c:v>
                </c:pt>
                <c:pt idx="34">
                  <c:v>4897.0165780094267</c:v>
                </c:pt>
                <c:pt idx="35">
                  <c:v>4603.6800562993867</c:v>
                </c:pt>
                <c:pt idx="36">
                  <c:v>4328.0651120749772</c:v>
                </c:pt>
                <c:pt idx="37">
                  <c:v>4069.0868505977487</c:v>
                </c:pt>
                <c:pt idx="38">
                  <c:v>3825.7282408424107</c:v>
                </c:pt>
                <c:pt idx="39">
                  <c:v>3597.035715759579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AF3-234F-8854-9482024E4458}"/>
            </c:ext>
          </c:extLst>
        </c:ser>
        <c:ser>
          <c:idx val="4"/>
          <c:order val="4"/>
          <c:tx>
            <c:strRef>
              <c:f>Summary_Removals!$F$5</c:f>
              <c:strCache>
                <c:ptCount val="1"/>
                <c:pt idx="0">
                  <c:v> Kipsigis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Summary_Removals!$A$6:$A$45</c:f>
              <c:numCache>
                <c:formatCode>0</c:formatCode>
                <c:ptCount val="4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</c:numCache>
            </c:numRef>
          </c:cat>
          <c:val>
            <c:numRef>
              <c:f>Summary_Removals!$F$6:$F$45</c:f>
              <c:numCache>
                <c:formatCode>_(* #,##0.00_);_(* \(#,##0.00\);_(* "-"??_);_(@_)</c:formatCode>
                <c:ptCount val="40"/>
                <c:pt idx="0">
                  <c:v>192731.21044038059</c:v>
                </c:pt>
                <c:pt idx="1">
                  <c:v>101122.39464974678</c:v>
                </c:pt>
                <c:pt idx="2">
                  <c:v>63263.510024857736</c:v>
                </c:pt>
                <c:pt idx="3">
                  <c:v>42939.03201646974</c:v>
                </c:pt>
                <c:pt idx="4">
                  <c:v>31705.835816457988</c:v>
                </c:pt>
                <c:pt idx="5">
                  <c:v>25247.538630072955</c:v>
                </c:pt>
                <c:pt idx="6">
                  <c:v>21325.931122523107</c:v>
                </c:pt>
                <c:pt idx="7">
                  <c:v>18770.18454390921</c:v>
                </c:pt>
                <c:pt idx="8">
                  <c:v>16964.119150337574</c:v>
                </c:pt>
                <c:pt idx="9">
                  <c:v>15581.749880361429</c:v>
                </c:pt>
                <c:pt idx="10">
                  <c:v>14449.557064307748</c:v>
                </c:pt>
                <c:pt idx="11">
                  <c:v>13474.353854582259</c:v>
                </c:pt>
                <c:pt idx="12">
                  <c:v>12605.384930433291</c:v>
                </c:pt>
                <c:pt idx="13">
                  <c:v>11814.371678451611</c:v>
                </c:pt>
                <c:pt idx="14">
                  <c:v>11084.991370124308</c:v>
                </c:pt>
                <c:pt idx="15">
                  <c:v>10407.323402392944</c:v>
                </c:pt>
                <c:pt idx="16">
                  <c:v>9774.9133571767634</c:v>
                </c:pt>
                <c:pt idx="17">
                  <c:v>9183.2177550283595</c:v>
                </c:pt>
                <c:pt idx="18">
                  <c:v>8628.7775029511995</c:v>
                </c:pt>
                <c:pt idx="19">
                  <c:v>8108.7762284672744</c:v>
                </c:pt>
                <c:pt idx="20">
                  <c:v>7620.8021295266744</c:v>
                </c:pt>
                <c:pt idx="21">
                  <c:v>7162.7176227668178</c:v>
                </c:pt>
                <c:pt idx="22">
                  <c:v>6732.5862517652586</c:v>
                </c:pt>
                <c:pt idx="23">
                  <c:v>6328.6301538744574</c:v>
                </c:pt>
                <c:pt idx="24">
                  <c:v>5949.2039641650726</c:v>
                </c:pt>
                <c:pt idx="25">
                  <c:v>5592.7776762136073</c:v>
                </c:pt>
                <c:pt idx="26">
                  <c:v>5257.9244870002394</c:v>
                </c:pt>
                <c:pt idx="27">
                  <c:v>4943.3115067709796</c:v>
                </c:pt>
                <c:pt idx="28">
                  <c:v>4647.6921953213678</c:v>
                </c:pt>
                <c:pt idx="29">
                  <c:v>4369.8999056372986</c:v>
                </c:pt>
                <c:pt idx="30">
                  <c:v>4108.8421918768709</c:v>
                </c:pt>
                <c:pt idx="31">
                  <c:v>3863.4956858470841</c:v>
                </c:pt>
                <c:pt idx="32">
                  <c:v>3632.901425237304</c:v>
                </c:pt>
                <c:pt idx="33">
                  <c:v>3416.1605599147247</c:v>
                </c:pt>
                <c:pt idx="34">
                  <c:v>3212.4303862977745</c:v>
                </c:pt>
                <c:pt idx="35">
                  <c:v>3020.9206734474551</c:v>
                </c:pt>
                <c:pt idx="36">
                  <c:v>2840.8902525057142</c:v>
                </c:pt>
                <c:pt idx="37">
                  <c:v>2671.6438461744533</c:v>
                </c:pt>
                <c:pt idx="38">
                  <c:v>2512.5291183237678</c:v>
                </c:pt>
                <c:pt idx="39">
                  <c:v>2362.933926188965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AF3-234F-8854-9482024E4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3817119"/>
        <c:axId val="1885495871"/>
      </c:lineChart>
      <c:catAx>
        <c:axId val="1683817119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495871"/>
        <c:crosses val="autoZero"/>
        <c:auto val="1"/>
        <c:lblAlgn val="ctr"/>
        <c:lblOffset val="100"/>
        <c:noMultiLvlLbl val="0"/>
      </c:catAx>
      <c:valAx>
        <c:axId val="188549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817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Summary_Removals!$H$5</c:f>
              <c:strCache>
                <c:ptCount val="1"/>
                <c:pt idx="0">
                  <c:v> Net Total Project ERs (QA1)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Summary_Removals!$A$6:$A$45</c:f>
              <c:numCache>
                <c:formatCode>0</c:formatCode>
                <c:ptCount val="4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</c:numCache>
            </c:numRef>
          </c:xVal>
          <c:yVal>
            <c:numRef>
              <c:f>Summary_Removals!$H$6:$H$45</c:f>
              <c:numCache>
                <c:formatCode>_(* #,##0.00_);_(* \(#,##0.00\);_(* "-"??_);_(@_)</c:formatCode>
                <c:ptCount val="40"/>
                <c:pt idx="0">
                  <c:v>716455.06090464909</c:v>
                </c:pt>
                <c:pt idx="1">
                  <c:v>383805.76775259414</c:v>
                </c:pt>
                <c:pt idx="2">
                  <c:v>246234.2647447084</c:v>
                </c:pt>
                <c:pt idx="3">
                  <c:v>172243.14626467557</c:v>
                </c:pt>
                <c:pt idx="4">
                  <c:v>131219.23208679614</c:v>
                </c:pt>
                <c:pt idx="5">
                  <c:v>107509.4898329667</c:v>
                </c:pt>
                <c:pt idx="6">
                  <c:v>92995.858158672563</c:v>
                </c:pt>
                <c:pt idx="7">
                  <c:v>83431.293278018929</c:v>
                </c:pt>
                <c:pt idx="8">
                  <c:v>76580.791956977089</c:v>
                </c:pt>
                <c:pt idx="9">
                  <c:v>71262.303765193181</c:v>
                </c:pt>
                <c:pt idx="10">
                  <c:v>66847.083105281883</c:v>
                </c:pt>
                <c:pt idx="11">
                  <c:v>62997.934881515983</c:v>
                </c:pt>
                <c:pt idx="12">
                  <c:v>59531.643186932364</c:v>
                </c:pt>
                <c:pt idx="13">
                  <c:v>56346.525646373295</c:v>
                </c:pt>
                <c:pt idx="14">
                  <c:v>53384.232447029673</c:v>
                </c:pt>
                <c:pt idx="15">
                  <c:v>50609.580083052861</c:v>
                </c:pt>
                <c:pt idx="16">
                  <c:v>47999.892143159945</c:v>
                </c:pt>
                <c:pt idx="17">
                  <c:v>45539.35518525487</c:v>
                </c:pt>
                <c:pt idx="18">
                  <c:v>43216.02171730157</c:v>
                </c:pt>
                <c:pt idx="19">
                  <c:v>41020.21134229545</c:v>
                </c:pt>
                <c:pt idx="20">
                  <c:v>38943.651085778627</c:v>
                </c:pt>
                <c:pt idx="21">
                  <c:v>36979.00708357952</c:v>
                </c:pt>
                <c:pt idx="22">
                  <c:v>35119.623968787288</c:v>
                </c:pt>
                <c:pt idx="23">
                  <c:v>33359.374926236385</c:v>
                </c:pt>
                <c:pt idx="24">
                  <c:v>31692.571108202519</c:v>
                </c:pt>
                <c:pt idx="25">
                  <c:v>30113.903246855327</c:v>
                </c:pt>
                <c:pt idx="26">
                  <c:v>28618.401049714437</c:v>
                </c:pt>
                <c:pt idx="27">
                  <c:v>27201.402702210136</c:v>
                </c:pt>
                <c:pt idx="28">
                  <c:v>25858.53036485178</c:v>
                </c:pt>
                <c:pt idx="29">
                  <c:v>24585.669439431484</c:v>
                </c:pt>
                <c:pt idx="30">
                  <c:v>23378.950380107184</c:v>
                </c:pt>
                <c:pt idx="31">
                  <c:v>22234.732358414221</c:v>
                </c:pt>
                <c:pt idx="32">
                  <c:v>21149.588376887736</c:v>
                </c:pt>
                <c:pt idx="33">
                  <c:v>20120.291580568559</c:v>
                </c:pt>
                <c:pt idx="34">
                  <c:v>19143.802600336494</c:v>
                </c:pt>
                <c:pt idx="35">
                  <c:v>18217.25780993624</c:v>
                </c:pt>
                <c:pt idx="36">
                  <c:v>17337.958406313352</c:v>
                </c:pt>
                <c:pt idx="37">
                  <c:v>16503.360240031056</c:v>
                </c:pt>
                <c:pt idx="38">
                  <c:v>15711.0643337696</c:v>
                </c:pt>
                <c:pt idx="39">
                  <c:v>14958.80803464601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48-8843-AFF2-7831CA282E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6070864"/>
        <c:axId val="2006895647"/>
      </c:scatterChart>
      <c:valAx>
        <c:axId val="1216070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895647"/>
        <c:crosses val="autoZero"/>
        <c:crossBetween val="midCat"/>
      </c:valAx>
      <c:valAx>
        <c:axId val="2006895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070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Summary_Reductions!$H$7</c:f>
              <c:strCache>
                <c:ptCount val="1"/>
                <c:pt idx="0">
                  <c:v>  Net Total Project ERs (QA3) 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Summary_Reductions!$A$8:$A$47</c:f>
              <c:numCache>
                <c:formatCode>General</c:formatCode>
                <c:ptCount val="4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</c:numCache>
            </c:numRef>
          </c:xVal>
          <c:yVal>
            <c:numRef>
              <c:f>Summary_Reductions!$H$8:$H$47</c:f>
              <c:numCache>
                <c:formatCode>General</c:formatCode>
                <c:ptCount val="40"/>
                <c:pt idx="0">
                  <c:v>442.435</c:v>
                </c:pt>
                <c:pt idx="1">
                  <c:v>442.435</c:v>
                </c:pt>
                <c:pt idx="2">
                  <c:v>442.435</c:v>
                </c:pt>
                <c:pt idx="3">
                  <c:v>442.435</c:v>
                </c:pt>
                <c:pt idx="4">
                  <c:v>442.435</c:v>
                </c:pt>
                <c:pt idx="5">
                  <c:v>442.435</c:v>
                </c:pt>
                <c:pt idx="6">
                  <c:v>442.435</c:v>
                </c:pt>
                <c:pt idx="7">
                  <c:v>442.435</c:v>
                </c:pt>
                <c:pt idx="8">
                  <c:v>442.435</c:v>
                </c:pt>
                <c:pt idx="9">
                  <c:v>442.435</c:v>
                </c:pt>
                <c:pt idx="10">
                  <c:v>442.435</c:v>
                </c:pt>
                <c:pt idx="11">
                  <c:v>442.435</c:v>
                </c:pt>
                <c:pt idx="12">
                  <c:v>442.435</c:v>
                </c:pt>
                <c:pt idx="13">
                  <c:v>442.435</c:v>
                </c:pt>
                <c:pt idx="14">
                  <c:v>442.435</c:v>
                </c:pt>
                <c:pt idx="15">
                  <c:v>442.435</c:v>
                </c:pt>
                <c:pt idx="16">
                  <c:v>442.435</c:v>
                </c:pt>
                <c:pt idx="17">
                  <c:v>442.435</c:v>
                </c:pt>
                <c:pt idx="18">
                  <c:v>442.435</c:v>
                </c:pt>
                <c:pt idx="19">
                  <c:v>442.435</c:v>
                </c:pt>
                <c:pt idx="20">
                  <c:v>442.435</c:v>
                </c:pt>
                <c:pt idx="21">
                  <c:v>442.435</c:v>
                </c:pt>
                <c:pt idx="22">
                  <c:v>442.435</c:v>
                </c:pt>
                <c:pt idx="23">
                  <c:v>442.435</c:v>
                </c:pt>
                <c:pt idx="24">
                  <c:v>442.435</c:v>
                </c:pt>
                <c:pt idx="25">
                  <c:v>442.435</c:v>
                </c:pt>
                <c:pt idx="26">
                  <c:v>442.435</c:v>
                </c:pt>
                <c:pt idx="27">
                  <c:v>442.435</c:v>
                </c:pt>
                <c:pt idx="28">
                  <c:v>442.435</c:v>
                </c:pt>
                <c:pt idx="29">
                  <c:v>442.435</c:v>
                </c:pt>
                <c:pt idx="30">
                  <c:v>442.435</c:v>
                </c:pt>
                <c:pt idx="31">
                  <c:v>442.435</c:v>
                </c:pt>
                <c:pt idx="32">
                  <c:v>442.435</c:v>
                </c:pt>
                <c:pt idx="33">
                  <c:v>442.435</c:v>
                </c:pt>
                <c:pt idx="34">
                  <c:v>442.435</c:v>
                </c:pt>
                <c:pt idx="35">
                  <c:v>442.435</c:v>
                </c:pt>
                <c:pt idx="36">
                  <c:v>442.435</c:v>
                </c:pt>
                <c:pt idx="37">
                  <c:v>442.435</c:v>
                </c:pt>
                <c:pt idx="38">
                  <c:v>442.435</c:v>
                </c:pt>
                <c:pt idx="39">
                  <c:v>442.435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18-F046-91FB-9CD4AC8B51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0822943"/>
        <c:axId val="1773808671"/>
      </c:scatterChart>
      <c:valAx>
        <c:axId val="750822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808671"/>
        <c:crosses val="autoZero"/>
        <c:crossBetween val="midCat"/>
      </c:valAx>
      <c:valAx>
        <c:axId val="1773808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8229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40y</a:t>
            </a:r>
            <a:r>
              <a:rPr lang="en-US" baseline="0"/>
              <a:t> </a:t>
            </a:r>
            <a:r>
              <a:rPr lang="en-US"/>
              <a:t>ERs,</a:t>
            </a:r>
            <a:r>
              <a:rPr lang="en-US" baseline="0"/>
              <a:t> w/ +5 coops/y during 1st 10y</a:t>
            </a:r>
            <a:r>
              <a:rPr lang="en-US"/>
              <a:t> 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2"/>
          <c:order val="0"/>
          <c:marker>
            <c:symbol val="none"/>
          </c:marker>
          <c:cat>
            <c:numRef>
              <c:f>Additional_Coop_Projections!$A$3:$A$42</c:f>
              <c:numCache>
                <c:formatCode>General</c:formatCode>
                <c:ptCount val="4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</c:numCache>
            </c:numRef>
          </c:cat>
          <c:val>
            <c:numRef>
              <c:f>Additional_Coop_Projections!$L$3:$L$42</c:f>
              <c:numCache>
                <c:formatCode>_(* #,##0.00_);_(* \(#,##0.00\);_(* "-"??_);_(@_)</c:formatCode>
                <c:ptCount val="40"/>
                <c:pt idx="0">
                  <c:v>716455.06090464909</c:v>
                </c:pt>
                <c:pt idx="1">
                  <c:v>1100260.8286572432</c:v>
                </c:pt>
                <c:pt idx="2">
                  <c:v>1346495.0934019517</c:v>
                </c:pt>
                <c:pt idx="3">
                  <c:v>1518738.2396666273</c:v>
                </c:pt>
                <c:pt idx="4">
                  <c:v>1649957.4717534233</c:v>
                </c:pt>
                <c:pt idx="5">
                  <c:v>1757466.9615863902</c:v>
                </c:pt>
                <c:pt idx="6">
                  <c:v>1850462.8197450626</c:v>
                </c:pt>
                <c:pt idx="7">
                  <c:v>1933894.1130230816</c:v>
                </c:pt>
                <c:pt idx="8">
                  <c:v>2010474.9049800585</c:v>
                </c:pt>
                <c:pt idx="9">
                  <c:v>2081737.2087452519</c:v>
                </c:pt>
                <c:pt idx="10">
                  <c:v>1432129.2309458847</c:v>
                </c:pt>
                <c:pt idx="11">
                  <c:v>1111321.3980748064</c:v>
                </c:pt>
                <c:pt idx="12">
                  <c:v>924618.77651703032</c:v>
                </c:pt>
                <c:pt idx="13">
                  <c:v>808722.15589872818</c:v>
                </c:pt>
                <c:pt idx="14">
                  <c:v>730887.15625896165</c:v>
                </c:pt>
                <c:pt idx="15">
                  <c:v>673987.24650904781</c:v>
                </c:pt>
                <c:pt idx="16">
                  <c:v>628991.28049353522</c:v>
                </c:pt>
                <c:pt idx="17">
                  <c:v>591099.3424007711</c:v>
                </c:pt>
                <c:pt idx="18">
                  <c:v>557734.57216109557</c:v>
                </c:pt>
                <c:pt idx="19">
                  <c:v>527492.47973819787</c:v>
                </c:pt>
                <c:pt idx="20">
                  <c:v>499589.04771869461</c:v>
                </c:pt>
                <c:pt idx="21">
                  <c:v>473570.11992075818</c:v>
                </c:pt>
                <c:pt idx="22">
                  <c:v>449158.10070261307</c:v>
                </c:pt>
                <c:pt idx="23">
                  <c:v>426170.94998247619</c:v>
                </c:pt>
                <c:pt idx="24">
                  <c:v>404479.28864364902</c:v>
                </c:pt>
                <c:pt idx="25">
                  <c:v>383983.61180745147</c:v>
                </c:pt>
                <c:pt idx="26">
                  <c:v>364602.12071400601</c:v>
                </c:pt>
                <c:pt idx="27">
                  <c:v>346264.16823096125</c:v>
                </c:pt>
                <c:pt idx="28">
                  <c:v>328906.67687851144</c:v>
                </c:pt>
                <c:pt idx="29">
                  <c:v>312472.13497564744</c:v>
                </c:pt>
                <c:pt idx="30">
                  <c:v>296907.43426997605</c:v>
                </c:pt>
                <c:pt idx="31">
                  <c:v>282163.15954481077</c:v>
                </c:pt>
                <c:pt idx="32">
                  <c:v>268193.12395291124</c:v>
                </c:pt>
                <c:pt idx="33">
                  <c:v>254954.04060724337</c:v>
                </c:pt>
                <c:pt idx="34">
                  <c:v>242405.27209937741</c:v>
                </c:pt>
                <c:pt idx="35">
                  <c:v>230508.62666245832</c:v>
                </c:pt>
                <c:pt idx="36">
                  <c:v>219228.1840190572</c:v>
                </c:pt>
                <c:pt idx="37">
                  <c:v>208530.14155687811</c:v>
                </c:pt>
                <c:pt idx="38">
                  <c:v>198382.67552579593</c:v>
                </c:pt>
                <c:pt idx="39">
                  <c:v>188755.81412101045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A6A-E149-BCC4-1A569F9E18DE}"/>
            </c:ext>
          </c:extLst>
        </c:ser>
        <c:ser>
          <c:idx val="3"/>
          <c:order val="1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Additional_Coop_Projections!$A$3:$A$42</c:f>
              <c:numCache>
                <c:formatCode>General</c:formatCode>
                <c:ptCount val="4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</c:numCache>
            </c:numRef>
          </c:cat>
          <c:val>
            <c:numRef>
              <c:f>Additional_Coop_Projections!$L$3:$L$42</c:f>
              <c:numCache>
                <c:formatCode>_(* #,##0.00_);_(* \(#,##0.00\);_(* "-"??_);_(@_)</c:formatCode>
                <c:ptCount val="40"/>
                <c:pt idx="0">
                  <c:v>716455.06090464909</c:v>
                </c:pt>
                <c:pt idx="1">
                  <c:v>1100260.8286572432</c:v>
                </c:pt>
                <c:pt idx="2">
                  <c:v>1346495.0934019517</c:v>
                </c:pt>
                <c:pt idx="3">
                  <c:v>1518738.2396666273</c:v>
                </c:pt>
                <c:pt idx="4">
                  <c:v>1649957.4717534233</c:v>
                </c:pt>
                <c:pt idx="5">
                  <c:v>1757466.9615863902</c:v>
                </c:pt>
                <c:pt idx="6">
                  <c:v>1850462.8197450626</c:v>
                </c:pt>
                <c:pt idx="7">
                  <c:v>1933894.1130230816</c:v>
                </c:pt>
                <c:pt idx="8">
                  <c:v>2010474.9049800585</c:v>
                </c:pt>
                <c:pt idx="9">
                  <c:v>2081737.2087452519</c:v>
                </c:pt>
                <c:pt idx="10">
                  <c:v>1432129.2309458847</c:v>
                </c:pt>
                <c:pt idx="11">
                  <c:v>1111321.3980748064</c:v>
                </c:pt>
                <c:pt idx="12">
                  <c:v>924618.77651703032</c:v>
                </c:pt>
                <c:pt idx="13">
                  <c:v>808722.15589872818</c:v>
                </c:pt>
                <c:pt idx="14">
                  <c:v>730887.15625896165</c:v>
                </c:pt>
                <c:pt idx="15">
                  <c:v>673987.24650904781</c:v>
                </c:pt>
                <c:pt idx="16">
                  <c:v>628991.28049353522</c:v>
                </c:pt>
                <c:pt idx="17">
                  <c:v>591099.3424007711</c:v>
                </c:pt>
                <c:pt idx="18">
                  <c:v>557734.57216109557</c:v>
                </c:pt>
                <c:pt idx="19">
                  <c:v>527492.47973819787</c:v>
                </c:pt>
                <c:pt idx="20">
                  <c:v>499589.04771869461</c:v>
                </c:pt>
                <c:pt idx="21">
                  <c:v>473570.11992075818</c:v>
                </c:pt>
                <c:pt idx="22">
                  <c:v>449158.10070261307</c:v>
                </c:pt>
                <c:pt idx="23">
                  <c:v>426170.94998247619</c:v>
                </c:pt>
                <c:pt idx="24">
                  <c:v>404479.28864364902</c:v>
                </c:pt>
                <c:pt idx="25">
                  <c:v>383983.61180745147</c:v>
                </c:pt>
                <c:pt idx="26">
                  <c:v>364602.12071400601</c:v>
                </c:pt>
                <c:pt idx="27">
                  <c:v>346264.16823096125</c:v>
                </c:pt>
                <c:pt idx="28">
                  <c:v>328906.67687851144</c:v>
                </c:pt>
                <c:pt idx="29">
                  <c:v>312472.13497564744</c:v>
                </c:pt>
                <c:pt idx="30">
                  <c:v>296907.43426997605</c:v>
                </c:pt>
                <c:pt idx="31">
                  <c:v>282163.15954481077</c:v>
                </c:pt>
                <c:pt idx="32">
                  <c:v>268193.12395291124</c:v>
                </c:pt>
                <c:pt idx="33">
                  <c:v>254954.04060724337</c:v>
                </c:pt>
                <c:pt idx="34">
                  <c:v>242405.27209937741</c:v>
                </c:pt>
                <c:pt idx="35">
                  <c:v>230508.62666245832</c:v>
                </c:pt>
                <c:pt idx="36">
                  <c:v>219228.1840190572</c:v>
                </c:pt>
                <c:pt idx="37">
                  <c:v>208530.14155687811</c:v>
                </c:pt>
                <c:pt idx="38">
                  <c:v>198382.67552579593</c:v>
                </c:pt>
                <c:pt idx="39">
                  <c:v>188755.81412101045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A6A-E149-BCC4-1A569F9E18DE}"/>
            </c:ext>
          </c:extLst>
        </c:ser>
        <c:ser>
          <c:idx val="1"/>
          <c:order val="2"/>
          <c:marker>
            <c:symbol val="none"/>
          </c:marker>
          <c:cat>
            <c:numRef>
              <c:f>Additional_Coop_Projections!$A$3:$A$42</c:f>
              <c:numCache>
                <c:formatCode>General</c:formatCode>
                <c:ptCount val="4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</c:numCache>
            </c:numRef>
          </c:cat>
          <c:val>
            <c:numRef>
              <c:f>Additional_Coop_Projections!$L$3:$L$42</c:f>
              <c:numCache>
                <c:formatCode>_(* #,##0.00_);_(* \(#,##0.00\);_(* "-"??_);_(@_)</c:formatCode>
                <c:ptCount val="40"/>
                <c:pt idx="0">
                  <c:v>716455.06090464909</c:v>
                </c:pt>
                <c:pt idx="1">
                  <c:v>1100260.8286572432</c:v>
                </c:pt>
                <c:pt idx="2">
                  <c:v>1346495.0934019517</c:v>
                </c:pt>
                <c:pt idx="3">
                  <c:v>1518738.2396666273</c:v>
                </c:pt>
                <c:pt idx="4">
                  <c:v>1649957.4717534233</c:v>
                </c:pt>
                <c:pt idx="5">
                  <c:v>1757466.9615863902</c:v>
                </c:pt>
                <c:pt idx="6">
                  <c:v>1850462.8197450626</c:v>
                </c:pt>
                <c:pt idx="7">
                  <c:v>1933894.1130230816</c:v>
                </c:pt>
                <c:pt idx="8">
                  <c:v>2010474.9049800585</c:v>
                </c:pt>
                <c:pt idx="9">
                  <c:v>2081737.2087452519</c:v>
                </c:pt>
                <c:pt idx="10">
                  <c:v>1432129.2309458847</c:v>
                </c:pt>
                <c:pt idx="11">
                  <c:v>1111321.3980748064</c:v>
                </c:pt>
                <c:pt idx="12">
                  <c:v>924618.77651703032</c:v>
                </c:pt>
                <c:pt idx="13">
                  <c:v>808722.15589872818</c:v>
                </c:pt>
                <c:pt idx="14">
                  <c:v>730887.15625896165</c:v>
                </c:pt>
                <c:pt idx="15">
                  <c:v>673987.24650904781</c:v>
                </c:pt>
                <c:pt idx="16">
                  <c:v>628991.28049353522</c:v>
                </c:pt>
                <c:pt idx="17">
                  <c:v>591099.3424007711</c:v>
                </c:pt>
                <c:pt idx="18">
                  <c:v>557734.57216109557</c:v>
                </c:pt>
                <c:pt idx="19">
                  <c:v>527492.47973819787</c:v>
                </c:pt>
                <c:pt idx="20">
                  <c:v>499589.04771869461</c:v>
                </c:pt>
                <c:pt idx="21">
                  <c:v>473570.11992075818</c:v>
                </c:pt>
                <c:pt idx="22">
                  <c:v>449158.10070261307</c:v>
                </c:pt>
                <c:pt idx="23">
                  <c:v>426170.94998247619</c:v>
                </c:pt>
                <c:pt idx="24">
                  <c:v>404479.28864364902</c:v>
                </c:pt>
                <c:pt idx="25">
                  <c:v>383983.61180745147</c:v>
                </c:pt>
                <c:pt idx="26">
                  <c:v>364602.12071400601</c:v>
                </c:pt>
                <c:pt idx="27">
                  <c:v>346264.16823096125</c:v>
                </c:pt>
                <c:pt idx="28">
                  <c:v>328906.67687851144</c:v>
                </c:pt>
                <c:pt idx="29">
                  <c:v>312472.13497564744</c:v>
                </c:pt>
                <c:pt idx="30">
                  <c:v>296907.43426997605</c:v>
                </c:pt>
                <c:pt idx="31">
                  <c:v>282163.15954481077</c:v>
                </c:pt>
                <c:pt idx="32">
                  <c:v>268193.12395291124</c:v>
                </c:pt>
                <c:pt idx="33">
                  <c:v>254954.04060724337</c:v>
                </c:pt>
                <c:pt idx="34">
                  <c:v>242405.27209937741</c:v>
                </c:pt>
                <c:pt idx="35">
                  <c:v>230508.62666245832</c:v>
                </c:pt>
                <c:pt idx="36">
                  <c:v>219228.1840190572</c:v>
                </c:pt>
                <c:pt idx="37">
                  <c:v>208530.14155687811</c:v>
                </c:pt>
                <c:pt idx="38">
                  <c:v>198382.67552579593</c:v>
                </c:pt>
                <c:pt idx="39">
                  <c:v>188755.81412101045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A6A-E149-BCC4-1A569F9E18DE}"/>
            </c:ext>
          </c:extLst>
        </c:ser>
        <c:ser>
          <c:idx val="0"/>
          <c:order val="3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Additional_Coop_Projections!$A$3:$A$42</c:f>
              <c:numCache>
                <c:formatCode>General</c:formatCode>
                <c:ptCount val="4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</c:numCache>
            </c:numRef>
          </c:cat>
          <c:val>
            <c:numRef>
              <c:f>Additional_Coop_Projections!$L$3:$L$42</c:f>
              <c:numCache>
                <c:formatCode>_(* #,##0.00_);_(* \(#,##0.00\);_(* "-"??_);_(@_)</c:formatCode>
                <c:ptCount val="40"/>
                <c:pt idx="0">
                  <c:v>716455.06090464909</c:v>
                </c:pt>
                <c:pt idx="1">
                  <c:v>1100260.8286572432</c:v>
                </c:pt>
                <c:pt idx="2">
                  <c:v>1346495.0934019517</c:v>
                </c:pt>
                <c:pt idx="3">
                  <c:v>1518738.2396666273</c:v>
                </c:pt>
                <c:pt idx="4">
                  <c:v>1649957.4717534233</c:v>
                </c:pt>
                <c:pt idx="5">
                  <c:v>1757466.9615863902</c:v>
                </c:pt>
                <c:pt idx="6">
                  <c:v>1850462.8197450626</c:v>
                </c:pt>
                <c:pt idx="7">
                  <c:v>1933894.1130230816</c:v>
                </c:pt>
                <c:pt idx="8">
                  <c:v>2010474.9049800585</c:v>
                </c:pt>
                <c:pt idx="9">
                  <c:v>2081737.2087452519</c:v>
                </c:pt>
                <c:pt idx="10">
                  <c:v>1432129.2309458847</c:v>
                </c:pt>
                <c:pt idx="11">
                  <c:v>1111321.3980748064</c:v>
                </c:pt>
                <c:pt idx="12">
                  <c:v>924618.77651703032</c:v>
                </c:pt>
                <c:pt idx="13">
                  <c:v>808722.15589872818</c:v>
                </c:pt>
                <c:pt idx="14">
                  <c:v>730887.15625896165</c:v>
                </c:pt>
                <c:pt idx="15">
                  <c:v>673987.24650904781</c:v>
                </c:pt>
                <c:pt idx="16">
                  <c:v>628991.28049353522</c:v>
                </c:pt>
                <c:pt idx="17">
                  <c:v>591099.3424007711</c:v>
                </c:pt>
                <c:pt idx="18">
                  <c:v>557734.57216109557</c:v>
                </c:pt>
                <c:pt idx="19">
                  <c:v>527492.47973819787</c:v>
                </c:pt>
                <c:pt idx="20">
                  <c:v>499589.04771869461</c:v>
                </c:pt>
                <c:pt idx="21">
                  <c:v>473570.11992075818</c:v>
                </c:pt>
                <c:pt idx="22">
                  <c:v>449158.10070261307</c:v>
                </c:pt>
                <c:pt idx="23">
                  <c:v>426170.94998247619</c:v>
                </c:pt>
                <c:pt idx="24">
                  <c:v>404479.28864364902</c:v>
                </c:pt>
                <c:pt idx="25">
                  <c:v>383983.61180745147</c:v>
                </c:pt>
                <c:pt idx="26">
                  <c:v>364602.12071400601</c:v>
                </c:pt>
                <c:pt idx="27">
                  <c:v>346264.16823096125</c:v>
                </c:pt>
                <c:pt idx="28">
                  <c:v>328906.67687851144</c:v>
                </c:pt>
                <c:pt idx="29">
                  <c:v>312472.13497564744</c:v>
                </c:pt>
                <c:pt idx="30">
                  <c:v>296907.43426997605</c:v>
                </c:pt>
                <c:pt idx="31">
                  <c:v>282163.15954481077</c:v>
                </c:pt>
                <c:pt idx="32">
                  <c:v>268193.12395291124</c:v>
                </c:pt>
                <c:pt idx="33">
                  <c:v>254954.04060724337</c:v>
                </c:pt>
                <c:pt idx="34">
                  <c:v>242405.27209937741</c:v>
                </c:pt>
                <c:pt idx="35">
                  <c:v>230508.62666245832</c:v>
                </c:pt>
                <c:pt idx="36">
                  <c:v>219228.1840190572</c:v>
                </c:pt>
                <c:pt idx="37">
                  <c:v>208530.14155687811</c:v>
                </c:pt>
                <c:pt idx="38">
                  <c:v>198382.67552579593</c:v>
                </c:pt>
                <c:pt idx="39">
                  <c:v>188755.81412101045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A6A-E149-BCC4-1A569F9E1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6626832"/>
        <c:axId val="1626628544"/>
      </c:lineChart>
      <c:catAx>
        <c:axId val="1626626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628544"/>
        <c:crosses val="autoZero"/>
        <c:auto val="1"/>
        <c:lblAlgn val="ctr"/>
        <c:lblOffset val="100"/>
        <c:noMultiLvlLbl val="0"/>
      </c:catAx>
      <c:valAx>
        <c:axId val="162662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tCO2e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626832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454393</xdr:colOff>
      <xdr:row>4</xdr:row>
      <xdr:rowOff>77551</xdr:rowOff>
    </xdr:from>
    <xdr:to>
      <xdr:col>11</xdr:col>
      <xdr:colOff>85649</xdr:colOff>
      <xdr:row>17</xdr:row>
      <xdr:rowOff>180217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65423D-C7CD-1788-7CEB-C21C4B63D7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115732</xdr:colOff>
      <xdr:row>2</xdr:row>
      <xdr:rowOff>94560</xdr:rowOff>
    </xdr:from>
    <xdr:to>
      <xdr:col>14</xdr:col>
      <xdr:colOff>555192</xdr:colOff>
      <xdr:row>16</xdr:row>
      <xdr:rowOff>10886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FF5CE0-A0B0-5556-81F6-F3481C1B5F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27214</xdr:colOff>
      <xdr:row>19</xdr:row>
      <xdr:rowOff>110822</xdr:rowOff>
    </xdr:from>
    <xdr:to>
      <xdr:col>14</xdr:col>
      <xdr:colOff>471713</xdr:colOff>
      <xdr:row>33</xdr:row>
      <xdr:rowOff>8315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292AC0-A6EF-6BE5-270E-E4B99BED73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406041</xdr:colOff>
      <xdr:row>27</xdr:row>
      <xdr:rowOff>68330</xdr:rowOff>
    </xdr:from>
    <xdr:to>
      <xdr:col>14</xdr:col>
      <xdr:colOff>41140</xdr:colOff>
      <xdr:row>40</xdr:row>
      <xdr:rowOff>137375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8B6CC6-B4FD-E787-58F8-B8AE0622F8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489865</xdr:colOff>
      <xdr:row>3</xdr:row>
      <xdr:rowOff>51835</xdr:rowOff>
    </xdr:from>
    <xdr:to>
      <xdr:col>16</xdr:col>
      <xdr:colOff>388265</xdr:colOff>
      <xdr:row>16</xdr:row>
      <xdr:rowOff>158238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8D128A-01B6-038B-5F8B-DC67F6443D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74460-226A-484F-A8DD-FFF53BF916A1}">
  <dimension ref="A2:E44"/>
  <sheetViews>
    <sheetView topLeftCell="A21" zoomScale="164" workbookViewId="0">
      <selection activeCell="E41" sqref="E41"/>
    </sheetView>
  </sheetViews>
  <sheetFormatPr baseColWidth="10" defaultRowHeight="16"/>
  <cols>
    <col min="2" max="2" width="14.1640625" customWidth="1"/>
    <col min="3" max="3" width="13.33203125" customWidth="1"/>
    <col min="5" max="5" width="14.83203125" customWidth="1"/>
  </cols>
  <sheetData>
    <row r="2" spans="1:5">
      <c r="A2" t="s">
        <v>12</v>
      </c>
      <c r="B2" t="s">
        <v>32</v>
      </c>
      <c r="C2" t="s">
        <v>33</v>
      </c>
      <c r="E2" t="s">
        <v>34</v>
      </c>
    </row>
    <row r="3" spans="1:5">
      <c r="A3">
        <v>2026</v>
      </c>
      <c r="B3" s="1" cm="1">
        <f t="array" ref="B3:B42">Summary_Removals!H6:H45</f>
        <v>716455.06090464909</v>
      </c>
      <c r="C3">
        <f>Summary_Reductions!H8</f>
        <v>442.435</v>
      </c>
      <c r="E3" s="6">
        <f>SUM(B3:C3)</f>
        <v>716897.49590464914</v>
      </c>
    </row>
    <row r="4" spans="1:5">
      <c r="A4">
        <v>2027</v>
      </c>
      <c r="B4" s="1">
        <v>383805.76775259414</v>
      </c>
      <c r="C4">
        <f>Summary_Reductions!H9</f>
        <v>442.435</v>
      </c>
      <c r="E4" s="6">
        <f t="shared" ref="E4:E42" si="0">SUM(B4:C4)</f>
        <v>384248.20275259414</v>
      </c>
    </row>
    <row r="5" spans="1:5">
      <c r="A5">
        <v>2028</v>
      </c>
      <c r="B5" s="1">
        <v>246234.2647447084</v>
      </c>
      <c r="C5">
        <f>Summary_Reductions!H10</f>
        <v>442.435</v>
      </c>
      <c r="E5" s="6">
        <f t="shared" si="0"/>
        <v>246676.6997447084</v>
      </c>
    </row>
    <row r="6" spans="1:5">
      <c r="A6">
        <v>2029</v>
      </c>
      <c r="B6" s="1">
        <v>172243.14626467557</v>
      </c>
      <c r="C6">
        <f>Summary_Reductions!H11</f>
        <v>442.435</v>
      </c>
      <c r="E6" s="6">
        <f t="shared" si="0"/>
        <v>172685.58126467557</v>
      </c>
    </row>
    <row r="7" spans="1:5">
      <c r="A7">
        <v>2030</v>
      </c>
      <c r="B7" s="1">
        <v>131219.23208679614</v>
      </c>
      <c r="C7">
        <f>Summary_Reductions!H12</f>
        <v>442.435</v>
      </c>
      <c r="E7" s="6">
        <f t="shared" si="0"/>
        <v>131661.66708679614</v>
      </c>
    </row>
    <row r="8" spans="1:5">
      <c r="A8">
        <v>2031</v>
      </c>
      <c r="B8" s="1">
        <v>107509.4898329667</v>
      </c>
      <c r="C8">
        <f>Summary_Reductions!H13</f>
        <v>442.435</v>
      </c>
      <c r="E8" s="6">
        <f t="shared" si="0"/>
        <v>107951.9248329667</v>
      </c>
    </row>
    <row r="9" spans="1:5">
      <c r="A9">
        <v>2032</v>
      </c>
      <c r="B9" s="1">
        <v>92995.858158672563</v>
      </c>
      <c r="C9">
        <f>Summary_Reductions!H14</f>
        <v>442.435</v>
      </c>
      <c r="E9" s="6">
        <f t="shared" si="0"/>
        <v>93438.293158672561</v>
      </c>
    </row>
    <row r="10" spans="1:5">
      <c r="A10">
        <v>2033</v>
      </c>
      <c r="B10" s="1">
        <v>83431.293278018929</v>
      </c>
      <c r="C10">
        <f>Summary_Reductions!H15</f>
        <v>442.435</v>
      </c>
      <c r="E10" s="6">
        <f t="shared" si="0"/>
        <v>83873.728278018927</v>
      </c>
    </row>
    <row r="11" spans="1:5">
      <c r="A11">
        <v>2034</v>
      </c>
      <c r="B11" s="1">
        <v>76580.791956977089</v>
      </c>
      <c r="C11">
        <f>Summary_Reductions!H16</f>
        <v>442.435</v>
      </c>
      <c r="E11" s="6">
        <f t="shared" si="0"/>
        <v>77023.226956977087</v>
      </c>
    </row>
    <row r="12" spans="1:5">
      <c r="A12">
        <v>2035</v>
      </c>
      <c r="B12" s="1">
        <v>71262.303765193181</v>
      </c>
      <c r="C12">
        <f>Summary_Reductions!H17</f>
        <v>442.435</v>
      </c>
      <c r="E12" s="6">
        <f t="shared" si="0"/>
        <v>71704.738765193179</v>
      </c>
    </row>
    <row r="13" spans="1:5">
      <c r="A13">
        <v>2036</v>
      </c>
      <c r="B13" s="1">
        <v>66847.083105281883</v>
      </c>
      <c r="C13">
        <f>Summary_Reductions!H18</f>
        <v>442.435</v>
      </c>
      <c r="E13" s="6">
        <f t="shared" si="0"/>
        <v>67289.518105281881</v>
      </c>
    </row>
    <row r="14" spans="1:5">
      <c r="A14">
        <v>2037</v>
      </c>
      <c r="B14" s="1">
        <v>62997.934881515983</v>
      </c>
      <c r="C14">
        <f>Summary_Reductions!H19</f>
        <v>442.435</v>
      </c>
      <c r="E14" s="6">
        <f>SUM(B14:C14)</f>
        <v>63440.369881515981</v>
      </c>
    </row>
    <row r="15" spans="1:5">
      <c r="A15">
        <v>2038</v>
      </c>
      <c r="B15" s="1">
        <v>59531.643186932364</v>
      </c>
      <c r="C15">
        <f>Summary_Reductions!H20</f>
        <v>442.435</v>
      </c>
      <c r="E15" s="6">
        <f t="shared" si="0"/>
        <v>59974.078186932362</v>
      </c>
    </row>
    <row r="16" spans="1:5">
      <c r="A16">
        <v>2039</v>
      </c>
      <c r="B16" s="1">
        <v>56346.525646373295</v>
      </c>
      <c r="C16">
        <f>Summary_Reductions!H21</f>
        <v>442.435</v>
      </c>
      <c r="E16" s="6">
        <f t="shared" si="0"/>
        <v>56788.960646373293</v>
      </c>
    </row>
    <row r="17" spans="1:5">
      <c r="A17">
        <v>2040</v>
      </c>
      <c r="B17" s="1">
        <v>53384.232447029673</v>
      </c>
      <c r="C17">
        <f>Summary_Reductions!H22</f>
        <v>442.435</v>
      </c>
      <c r="E17" s="6">
        <f t="shared" si="0"/>
        <v>53826.667447029671</v>
      </c>
    </row>
    <row r="18" spans="1:5">
      <c r="A18">
        <v>2041</v>
      </c>
      <c r="B18" s="1">
        <v>50609.580083052861</v>
      </c>
      <c r="C18">
        <f>Summary_Reductions!H23</f>
        <v>442.435</v>
      </c>
      <c r="E18" s="6">
        <f t="shared" si="0"/>
        <v>51052.015083052858</v>
      </c>
    </row>
    <row r="19" spans="1:5">
      <c r="A19">
        <v>2042</v>
      </c>
      <c r="B19" s="1">
        <v>47999.892143159945</v>
      </c>
      <c r="C19">
        <f>Summary_Reductions!H24</f>
        <v>442.435</v>
      </c>
      <c r="E19" s="6">
        <f t="shared" si="0"/>
        <v>48442.327143159942</v>
      </c>
    </row>
    <row r="20" spans="1:5">
      <c r="A20">
        <v>2043</v>
      </c>
      <c r="B20" s="1">
        <v>45539.35518525487</v>
      </c>
      <c r="C20">
        <f>Summary_Reductions!H25</f>
        <v>442.435</v>
      </c>
      <c r="E20" s="6">
        <f t="shared" si="0"/>
        <v>45981.790185254868</v>
      </c>
    </row>
    <row r="21" spans="1:5">
      <c r="A21">
        <v>2044</v>
      </c>
      <c r="B21" s="1">
        <v>43216.02171730157</v>
      </c>
      <c r="C21">
        <f>Summary_Reductions!H26</f>
        <v>442.435</v>
      </c>
      <c r="E21" s="6">
        <f t="shared" si="0"/>
        <v>43658.456717301568</v>
      </c>
    </row>
    <row r="22" spans="1:5">
      <c r="A22">
        <v>2045</v>
      </c>
      <c r="B22" s="1">
        <v>41020.21134229545</v>
      </c>
      <c r="C22">
        <f>Summary_Reductions!H27</f>
        <v>442.435</v>
      </c>
      <c r="E22" s="6">
        <f t="shared" si="0"/>
        <v>41462.646342295448</v>
      </c>
    </row>
    <row r="23" spans="1:5">
      <c r="A23">
        <v>2046</v>
      </c>
      <c r="B23" s="1">
        <v>38943.651085778627</v>
      </c>
      <c r="C23">
        <f>Summary_Reductions!H28</f>
        <v>442.435</v>
      </c>
      <c r="E23" s="6">
        <f t="shared" si="0"/>
        <v>39386.086085778625</v>
      </c>
    </row>
    <row r="24" spans="1:5">
      <c r="A24">
        <v>2047</v>
      </c>
      <c r="B24" s="1">
        <v>36979.00708357952</v>
      </c>
      <c r="C24">
        <f>Summary_Reductions!H29</f>
        <v>442.435</v>
      </c>
      <c r="E24" s="6">
        <f t="shared" si="0"/>
        <v>37421.442083579517</v>
      </c>
    </row>
    <row r="25" spans="1:5">
      <c r="A25">
        <v>2048</v>
      </c>
      <c r="B25" s="1">
        <v>35119.623968787288</v>
      </c>
      <c r="C25">
        <f>Summary_Reductions!H30</f>
        <v>442.435</v>
      </c>
      <c r="E25" s="6">
        <f t="shared" si="0"/>
        <v>35562.058968787285</v>
      </c>
    </row>
    <row r="26" spans="1:5">
      <c r="A26">
        <v>2049</v>
      </c>
      <c r="B26" s="1">
        <v>33359.374926236385</v>
      </c>
      <c r="C26">
        <f>Summary_Reductions!H31</f>
        <v>442.435</v>
      </c>
      <c r="E26" s="6">
        <f t="shared" si="0"/>
        <v>33801.809926236383</v>
      </c>
    </row>
    <row r="27" spans="1:5">
      <c r="A27">
        <v>2050</v>
      </c>
      <c r="B27" s="1">
        <v>31692.571108202519</v>
      </c>
      <c r="C27">
        <f>Summary_Reductions!H32</f>
        <v>442.435</v>
      </c>
      <c r="E27" s="6">
        <f t="shared" si="0"/>
        <v>32135.00610820252</v>
      </c>
    </row>
    <row r="28" spans="1:5">
      <c r="A28">
        <v>2051</v>
      </c>
      <c r="B28" s="1">
        <v>30113.903246855327</v>
      </c>
      <c r="C28">
        <f>Summary_Reductions!H33</f>
        <v>442.435</v>
      </c>
      <c r="E28" s="6">
        <f t="shared" si="0"/>
        <v>30556.338246855328</v>
      </c>
    </row>
    <row r="29" spans="1:5">
      <c r="A29">
        <v>2052</v>
      </c>
      <c r="B29" s="1">
        <v>28618.401049714437</v>
      </c>
      <c r="C29">
        <f>Summary_Reductions!H34</f>
        <v>442.435</v>
      </c>
      <c r="E29" s="6">
        <f t="shared" si="0"/>
        <v>29060.836049714439</v>
      </c>
    </row>
    <row r="30" spans="1:5">
      <c r="A30">
        <v>2053</v>
      </c>
      <c r="B30" s="1">
        <v>27201.402702210136</v>
      </c>
      <c r="C30">
        <f>Summary_Reductions!H35</f>
        <v>442.435</v>
      </c>
      <c r="E30" s="6">
        <f t="shared" si="0"/>
        <v>27643.837702210138</v>
      </c>
    </row>
    <row r="31" spans="1:5">
      <c r="A31">
        <v>2054</v>
      </c>
      <c r="B31" s="1">
        <v>25858.53036485178</v>
      </c>
      <c r="C31">
        <f>Summary_Reductions!H36</f>
        <v>442.435</v>
      </c>
      <c r="E31" s="6">
        <f t="shared" si="0"/>
        <v>26300.965364851781</v>
      </c>
    </row>
    <row r="32" spans="1:5">
      <c r="A32">
        <v>2055</v>
      </c>
      <c r="B32" s="1">
        <v>24585.669439431484</v>
      </c>
      <c r="C32">
        <f>Summary_Reductions!H37</f>
        <v>442.435</v>
      </c>
      <c r="E32" s="6">
        <f t="shared" si="0"/>
        <v>25028.104439431485</v>
      </c>
    </row>
    <row r="33" spans="1:5">
      <c r="A33">
        <v>2056</v>
      </c>
      <c r="B33" s="1">
        <v>23378.950380107184</v>
      </c>
      <c r="C33">
        <f>Summary_Reductions!H38</f>
        <v>442.435</v>
      </c>
      <c r="E33" s="6">
        <f t="shared" si="0"/>
        <v>23821.385380107185</v>
      </c>
    </row>
    <row r="34" spans="1:5">
      <c r="A34">
        <v>2057</v>
      </c>
      <c r="B34" s="1">
        <v>22234.732358414221</v>
      </c>
      <c r="C34">
        <f>Summary_Reductions!H39</f>
        <v>442.435</v>
      </c>
      <c r="E34" s="6">
        <f t="shared" si="0"/>
        <v>22677.167358414223</v>
      </c>
    </row>
    <row r="35" spans="1:5">
      <c r="A35">
        <v>2058</v>
      </c>
      <c r="B35" s="1">
        <v>21149.588376887736</v>
      </c>
      <c r="C35">
        <f>Summary_Reductions!H40</f>
        <v>442.435</v>
      </c>
      <c r="E35" s="6">
        <f t="shared" si="0"/>
        <v>21592.023376887737</v>
      </c>
    </row>
    <row r="36" spans="1:5">
      <c r="A36">
        <v>2059</v>
      </c>
      <c r="B36" s="1">
        <v>20120.291580568559</v>
      </c>
      <c r="C36">
        <f>Summary_Reductions!H41</f>
        <v>442.435</v>
      </c>
      <c r="E36" s="6">
        <f t="shared" si="0"/>
        <v>20562.72658056856</v>
      </c>
    </row>
    <row r="37" spans="1:5">
      <c r="A37">
        <v>2060</v>
      </c>
      <c r="B37" s="1">
        <v>19143.802600336494</v>
      </c>
      <c r="C37">
        <f>Summary_Reductions!H42</f>
        <v>442.435</v>
      </c>
      <c r="E37" s="6">
        <f t="shared" si="0"/>
        <v>19586.237600336495</v>
      </c>
    </row>
    <row r="38" spans="1:5">
      <c r="A38">
        <v>2061</v>
      </c>
      <c r="B38" s="1">
        <v>18217.25780993624</v>
      </c>
      <c r="C38">
        <f>Summary_Reductions!H43</f>
        <v>442.435</v>
      </c>
      <c r="E38" s="6">
        <f t="shared" si="0"/>
        <v>18659.692809936241</v>
      </c>
    </row>
    <row r="39" spans="1:5">
      <c r="A39">
        <v>2062</v>
      </c>
      <c r="B39" s="1">
        <v>17337.958406313352</v>
      </c>
      <c r="C39">
        <f>Summary_Reductions!H44</f>
        <v>442.435</v>
      </c>
      <c r="E39" s="6">
        <f t="shared" si="0"/>
        <v>17780.393406313353</v>
      </c>
    </row>
    <row r="40" spans="1:5">
      <c r="A40">
        <v>2063</v>
      </c>
      <c r="B40" s="1">
        <v>16503.360240031056</v>
      </c>
      <c r="C40">
        <f>Summary_Reductions!H45</f>
        <v>442.435</v>
      </c>
      <c r="E40" s="6">
        <f t="shared" si="0"/>
        <v>16945.795240031057</v>
      </c>
    </row>
    <row r="41" spans="1:5">
      <c r="A41">
        <v>2064</v>
      </c>
      <c r="B41" s="1">
        <v>15711.0643337696</v>
      </c>
      <c r="C41">
        <f>Summary_Reductions!H46</f>
        <v>442.435</v>
      </c>
      <c r="E41" s="6">
        <f t="shared" si="0"/>
        <v>16153.4993337696</v>
      </c>
    </row>
    <row r="42" spans="1:5">
      <c r="A42">
        <v>2065</v>
      </c>
      <c r="B42" s="1">
        <v>14958.80803464601</v>
      </c>
      <c r="C42">
        <f>Summary_Reductions!H47</f>
        <v>442.435</v>
      </c>
      <c r="E42" s="6">
        <f t="shared" si="0"/>
        <v>15401.24303464601</v>
      </c>
    </row>
    <row r="44" spans="1:5">
      <c r="E44" s="6">
        <f>SUM(E3:E42)</f>
        <v>3128155.0375801069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ABBA3-596E-B946-9E4A-D51BBBAF87D8}">
  <dimension ref="A3:H50"/>
  <sheetViews>
    <sheetView zoomScale="131" workbookViewId="0">
      <selection activeCell="P11" sqref="P11"/>
    </sheetView>
  </sheetViews>
  <sheetFormatPr baseColWidth="10" defaultRowHeight="16"/>
  <cols>
    <col min="1" max="1" width="11.83203125" style="1" bestFit="1" customWidth="1"/>
    <col min="2" max="2" width="14" style="1" customWidth="1"/>
    <col min="3" max="3" width="12.83203125" style="1" customWidth="1"/>
    <col min="4" max="4" width="11" style="1" bestFit="1" customWidth="1"/>
    <col min="5" max="5" width="13.1640625" style="1" customWidth="1"/>
    <col min="6" max="6" width="12.5" style="1" customWidth="1"/>
    <col min="7" max="7" width="11.5" style="1" bestFit="1" customWidth="1"/>
    <col min="8" max="8" width="17.33203125" style="1" customWidth="1"/>
    <col min="9" max="16384" width="10.83203125" style="1"/>
  </cols>
  <sheetData>
    <row r="3" spans="1:8">
      <c r="A3" s="1" t="s">
        <v>18</v>
      </c>
    </row>
    <row r="5" spans="1:8">
      <c r="A5" s="1" t="s">
        <v>12</v>
      </c>
      <c r="B5" s="1" t="s">
        <v>13</v>
      </c>
      <c r="C5" s="1" t="s">
        <v>14</v>
      </c>
      <c r="D5" s="1" t="s">
        <v>15</v>
      </c>
      <c r="E5" s="1" t="s">
        <v>16</v>
      </c>
      <c r="F5" s="1" t="s">
        <v>17</v>
      </c>
      <c r="H5" s="1" t="s">
        <v>19</v>
      </c>
    </row>
    <row r="6" spans="1:8">
      <c r="A6" s="4">
        <v>2026</v>
      </c>
      <c r="B6" s="1">
        <f>Eor!C3 * 0.5</f>
        <v>96001.230848893785</v>
      </c>
      <c r="C6" s="1">
        <f>Lanyuak!E3 * 0.5</f>
        <v>91463.318422703655</v>
      </c>
      <c r="D6" s="1">
        <f>Mumberes!E3*0.5</f>
        <v>37369.636926424428</v>
      </c>
      <c r="E6" s="1">
        <f>Kabianga!C3*0.5</f>
        <v>298889.66426624666</v>
      </c>
      <c r="F6" s="1">
        <f>Kipsigis!B3*0.5</f>
        <v>192731.21044038059</v>
      </c>
      <c r="H6" s="1">
        <f>SUM(B6:F6)</f>
        <v>716455.06090464909</v>
      </c>
    </row>
    <row r="7" spans="1:8">
      <c r="A7" s="4">
        <v>2027</v>
      </c>
      <c r="B7" s="1">
        <f>Eor!C4 * 0.5</f>
        <v>54401.500502371171</v>
      </c>
      <c r="C7" s="1">
        <f>Lanyuak!E4 * 0.5</f>
        <v>51830.234791278628</v>
      </c>
      <c r="D7" s="1">
        <f>Mumberes!E4*0.5</f>
        <v>19646.167202611403</v>
      </c>
      <c r="E7" s="1">
        <f>Kabianga!C4*0.5</f>
        <v>156805.4706065862</v>
      </c>
      <c r="F7" s="1">
        <f>Kipsigis!B4*0.5</f>
        <v>101122.39464974678</v>
      </c>
      <c r="H7" s="1">
        <f t="shared" ref="H7:H45" si="0">SUM(B7:F7)</f>
        <v>383805.76775259414</v>
      </c>
    </row>
    <row r="8" spans="1:8">
      <c r="A8" s="4">
        <v>2028</v>
      </c>
      <c r="B8" s="1">
        <f>Eor!C5 * 0.5</f>
        <v>37150.770866669729</v>
      </c>
      <c r="C8" s="1">
        <f>Lanyuak!E5 * 0.5</f>
        <v>35395.247396935025</v>
      </c>
      <c r="D8" s="1">
        <f>Mumberes!E5*0.5</f>
        <v>12350.923765294981</v>
      </c>
      <c r="E8" s="1">
        <f>Kabianga!C5*0.5</f>
        <v>98073.812690950916</v>
      </c>
      <c r="F8" s="1">
        <f>Kipsigis!B5*0.5</f>
        <v>63263.510024857736</v>
      </c>
      <c r="H8" s="1">
        <f t="shared" si="0"/>
        <v>246234.2647447084</v>
      </c>
    </row>
    <row r="9" spans="1:8">
      <c r="A9" s="4">
        <v>2029</v>
      </c>
      <c r="B9" s="1">
        <f>Eor!C6 * 0.5</f>
        <v>27813.544972709446</v>
      </c>
      <c r="C9" s="1">
        <f>Lanyuak!E6 * 0.5</f>
        <v>26499.710044377804</v>
      </c>
      <c r="D9" s="1">
        <f>Mumberes!E6*0.5</f>
        <v>8456.0585492108694</v>
      </c>
      <c r="E9" s="1">
        <f>Kabianga!C6*0.5</f>
        <v>66534.800681907713</v>
      </c>
      <c r="F9" s="1">
        <f>Kipsigis!B6*0.5</f>
        <v>42939.03201646974</v>
      </c>
      <c r="H9" s="1">
        <f t="shared" si="0"/>
        <v>172243.14626467557</v>
      </c>
    </row>
    <row r="10" spans="1:8">
      <c r="A10" s="4">
        <v>2030</v>
      </c>
      <c r="B10" s="1">
        <f>Eor!C7 * 0.5</f>
        <v>22581.069184619755</v>
      </c>
      <c r="C10" s="1">
        <f>Lanyuak!E7 * 0.5</f>
        <v>21514.88246178746</v>
      </c>
      <c r="D10" s="1">
        <f>Mumberes!E7*0.5</f>
        <v>6321.0477456158378</v>
      </c>
      <c r="E10" s="1">
        <f>Kabianga!C7*0.5</f>
        <v>49096.396878315085</v>
      </c>
      <c r="F10" s="1">
        <f>Kipsigis!B7*0.5</f>
        <v>31705.835816457988</v>
      </c>
      <c r="H10" s="1">
        <f t="shared" si="0"/>
        <v>131219.23208679614</v>
      </c>
    </row>
    <row r="11" spans="1:8">
      <c r="A11" s="4">
        <v>2031</v>
      </c>
      <c r="B11" s="1">
        <f>Eor!C8 * 0.5</f>
        <v>19504.74126958743</v>
      </c>
      <c r="C11" s="1">
        <f>Lanyuak!E8 * 0.5</f>
        <v>18584.261980802716</v>
      </c>
      <c r="D11" s="1">
        <f>Mumberes!E8*0.5</f>
        <v>5107.6735884821865</v>
      </c>
      <c r="E11" s="1">
        <f>Kabianga!C8*0.5</f>
        <v>39065.274364021418</v>
      </c>
      <c r="F11" s="1">
        <f>Kipsigis!B8*0.5</f>
        <v>25247.538630072955</v>
      </c>
      <c r="H11" s="1">
        <f t="shared" si="0"/>
        <v>107509.4898329667</v>
      </c>
    </row>
    <row r="12" spans="1:8">
      <c r="A12" s="4">
        <v>2032</v>
      </c>
      <c r="B12" s="1">
        <f>Eor!C9 * 0.5</f>
        <v>17573.345054470279</v>
      </c>
      <c r="C12" s="1">
        <f>Lanyuak!E9 * 0.5</f>
        <v>16744.429245567066</v>
      </c>
      <c r="D12" s="1">
        <f>Mumberes!E9*0.5</f>
        <v>4381.7003844011442</v>
      </c>
      <c r="E12" s="1">
        <f>Kabianga!C9*0.5</f>
        <v>32970.45235171097</v>
      </c>
      <c r="F12" s="1">
        <f>Kipsigis!B9*0.5</f>
        <v>21325.931122523107</v>
      </c>
      <c r="H12" s="1">
        <f t="shared" si="0"/>
        <v>92995.858158672563</v>
      </c>
    </row>
    <row r="13" spans="1:8">
      <c r="A13" s="4">
        <v>2033</v>
      </c>
      <c r="B13" s="1">
        <f>Eor!C10 * 0.5</f>
        <v>16257.625350588529</v>
      </c>
      <c r="C13" s="1">
        <f>Lanyuak!E10 * 0.5</f>
        <v>15491.146815422353</v>
      </c>
      <c r="D13" s="1">
        <f>Mumberes!E10*0.5</f>
        <v>3916.2879501641919</v>
      </c>
      <c r="E13" s="1">
        <f>Kabianga!C10*0.5</f>
        <v>28996.048617934648</v>
      </c>
      <c r="F13" s="1">
        <f>Kipsigis!B10*0.5</f>
        <v>18770.18454390921</v>
      </c>
      <c r="H13" s="1">
        <f t="shared" si="0"/>
        <v>83431.293278018929</v>
      </c>
    </row>
    <row r="14" spans="1:8">
      <c r="A14" s="4">
        <v>2034</v>
      </c>
      <c r="B14" s="1">
        <f>Eor!C11 * 0.5</f>
        <v>15279.056088060963</v>
      </c>
      <c r="C14" s="1">
        <f>Lanyuak!E11 * 0.5</f>
        <v>14559.055620821135</v>
      </c>
      <c r="D14" s="1">
        <f>Mumberes!E11*0.5</f>
        <v>3592.291427446125</v>
      </c>
      <c r="E14" s="1">
        <f>Kabianga!C11*0.5</f>
        <v>26186.2696703113</v>
      </c>
      <c r="F14" s="1">
        <f>Kipsigis!B11*0.5</f>
        <v>16964.119150337574</v>
      </c>
      <c r="H14" s="1">
        <f t="shared" si="0"/>
        <v>76580.791956977089</v>
      </c>
    </row>
    <row r="15" spans="1:8">
      <c r="A15" s="4">
        <v>2035</v>
      </c>
      <c r="B15" s="1">
        <f>Eor!C12 * 0.5</f>
        <v>14490.430890706753</v>
      </c>
      <c r="C15" s="1">
        <f>Lanyuak!E12 * 0.5</f>
        <v>13807.90915505703</v>
      </c>
      <c r="D15" s="1">
        <f>Mumberes!E12*0.5</f>
        <v>3346.8626335983722</v>
      </c>
      <c r="E15" s="1">
        <f>Kabianga!C12*0.5</f>
        <v>24035.351205469589</v>
      </c>
      <c r="F15" s="1">
        <f>Kipsigis!B12*0.5</f>
        <v>15581.749880361429</v>
      </c>
      <c r="H15" s="1">
        <f t="shared" si="0"/>
        <v>71262.303765193181</v>
      </c>
    </row>
    <row r="16" spans="1:8">
      <c r="A16" s="4">
        <v>2036</v>
      </c>
      <c r="B16" s="1">
        <f>Eor!C13 * 0.5</f>
        <v>13813.59295517586</v>
      </c>
      <c r="C16" s="1">
        <f>Lanyuak!E13 * 0.5</f>
        <v>13163.246524521039</v>
      </c>
      <c r="D16" s="1">
        <f>Mumberes!E13*0.5</f>
        <v>3146.6985656202182</v>
      </c>
      <c r="E16" s="1">
        <f>Kabianga!C13*0.5</f>
        <v>22273.987995657011</v>
      </c>
      <c r="F16" s="1">
        <f>Kipsigis!B13*0.5</f>
        <v>14449.557064307748</v>
      </c>
      <c r="H16" s="1">
        <f t="shared" si="0"/>
        <v>66847.083105281883</v>
      </c>
    </row>
    <row r="17" spans="1:8">
      <c r="A17" s="4">
        <v>2037</v>
      </c>
      <c r="B17" s="1">
        <f>Eor!C14 * 0.5</f>
        <v>13206.781292077674</v>
      </c>
      <c r="C17" s="1">
        <f>Lanyuak!E14 * 0.5</f>
        <v>12585.282123092027</v>
      </c>
      <c r="D17" s="1">
        <f>Mumberes!E14*0.5</f>
        <v>2974.0415281642345</v>
      </c>
      <c r="E17" s="1">
        <f>Kabianga!C14*0.5</f>
        <v>20757.476083599788</v>
      </c>
      <c r="F17" s="1">
        <f>Kipsigis!B14*0.5</f>
        <v>13474.353854582259</v>
      </c>
      <c r="H17" s="1">
        <f t="shared" si="0"/>
        <v>62997.934881515983</v>
      </c>
    </row>
    <row r="18" spans="1:8">
      <c r="A18" s="4">
        <v>2038</v>
      </c>
      <c r="B18" s="1">
        <f>Eor!C15 * 0.5</f>
        <v>12647.453487312418</v>
      </c>
      <c r="C18" s="1">
        <f>Lanyuak!E15 * 0.5</f>
        <v>12052.540340981395</v>
      </c>
      <c r="D18" s="1">
        <f>Mumberes!E15*0.5</f>
        <v>2819.3293079557807</v>
      </c>
      <c r="E18" s="1">
        <f>Kabianga!C15*0.5</f>
        <v>19406.93512024948</v>
      </c>
      <c r="F18" s="1">
        <f>Kipsigis!B15*0.5</f>
        <v>12605.384930433291</v>
      </c>
      <c r="H18" s="1">
        <f t="shared" si="0"/>
        <v>59531.643186932364</v>
      </c>
    </row>
    <row r="19" spans="1:8">
      <c r="A19" s="4">
        <v>2039</v>
      </c>
      <c r="B19" s="1">
        <f>Eor!C16 * 0.5</f>
        <v>12123.233316030906</v>
      </c>
      <c r="C19" s="1">
        <f>Lanyuak!E16 * 0.5</f>
        <v>11553.23109451569</v>
      </c>
      <c r="D19" s="1">
        <f>Mumberes!E16*0.5</f>
        <v>2677.3292231233254</v>
      </c>
      <c r="E19" s="1">
        <f>Kabianga!C16*0.5</f>
        <v>18178.36033425176</v>
      </c>
      <c r="F19" s="1">
        <f>Kipsigis!B16*0.5</f>
        <v>11814.371678451611</v>
      </c>
      <c r="H19" s="1">
        <f t="shared" si="0"/>
        <v>56346.525646373295</v>
      </c>
    </row>
    <row r="20" spans="1:8">
      <c r="A20" s="4">
        <v>2040</v>
      </c>
      <c r="B20" s="1">
        <f>Eor!C17 * 0.5</f>
        <v>11627.134801587712</v>
      </c>
      <c r="C20" s="1">
        <f>Lanyuak!E17 * 0.5</f>
        <v>11080.699660067648</v>
      </c>
      <c r="D20" s="1">
        <f>Mumberes!E17*0.5</f>
        <v>2545.102114621709</v>
      </c>
      <c r="E20" s="1">
        <f>Kabianga!C17*0.5</f>
        <v>17046.304500628303</v>
      </c>
      <c r="F20" s="1">
        <f>Kipsigis!B17*0.5</f>
        <v>11084.991370124308</v>
      </c>
      <c r="H20" s="1">
        <f t="shared" si="0"/>
        <v>53384.232447029673</v>
      </c>
    </row>
    <row r="21" spans="1:8">
      <c r="A21" s="4">
        <v>2041</v>
      </c>
      <c r="B21" s="1">
        <f>Eor!C18 * 0.5</f>
        <v>11155.040454362061</v>
      </c>
      <c r="C21" s="1">
        <f>Lanyuak!E18 * 0.5</f>
        <v>10631.02413145508</v>
      </c>
      <c r="D21" s="1">
        <f>Mumberes!E18*0.5</f>
        <v>2420.9290147924539</v>
      </c>
      <c r="E21" s="1">
        <f>Kabianga!C18*0.5</f>
        <v>15995.263080050316</v>
      </c>
      <c r="F21" s="1">
        <f>Kipsigis!B18*0.5</f>
        <v>10407.323402392944</v>
      </c>
      <c r="H21" s="1">
        <f t="shared" si="0"/>
        <v>50609.580083052861</v>
      </c>
    </row>
    <row r="22" spans="1:8">
      <c r="A22" s="4">
        <v>2042</v>
      </c>
      <c r="B22" s="1">
        <f>Eor!C19 * 0.5</f>
        <v>10704.368742886607</v>
      </c>
      <c r="C22" s="1">
        <f>Lanyuak!E19 * 0.5</f>
        <v>10201.745891385084</v>
      </c>
      <c r="D22" s="1">
        <f>Mumberes!E19*0.5</f>
        <v>2303.7447351169421</v>
      </c>
      <c r="E22" s="1">
        <f>Kabianga!C19*0.5</f>
        <v>15015.119416594554</v>
      </c>
      <c r="F22" s="1">
        <f>Kipsigis!B19*0.5</f>
        <v>9774.9133571767634</v>
      </c>
      <c r="H22" s="1">
        <f t="shared" si="0"/>
        <v>47999.892143159945</v>
      </c>
    </row>
    <row r="23" spans="1:8">
      <c r="A23" s="4">
        <v>2043</v>
      </c>
      <c r="B23" s="1">
        <f>Eor!C20 * 0.5</f>
        <v>10273.369302108651</v>
      </c>
      <c r="C23" s="1">
        <f>Lanyuak!E20 * 0.5</f>
        <v>9791.1981438320781</v>
      </c>
      <c r="D23" s="1">
        <f>Mumberes!E20*0.5</f>
        <v>2192.8385597850788</v>
      </c>
      <c r="E23" s="1">
        <f>Kabianga!C20*0.5</f>
        <v>14098.731424500698</v>
      </c>
      <c r="F23" s="1">
        <f>Kipsigis!B20*0.5</f>
        <v>9183.2177550283595</v>
      </c>
      <c r="H23" s="1">
        <f t="shared" si="0"/>
        <v>45539.35518525487</v>
      </c>
    </row>
    <row r="24" spans="1:8">
      <c r="A24" s="4">
        <v>2044</v>
      </c>
      <c r="B24" s="1">
        <f>Eor!C21 * 0.5</f>
        <v>9860.7496221277834</v>
      </c>
      <c r="C24" s="1">
        <f>Lanyuak!E21 * 0.5</f>
        <v>9398.1502554670205</v>
      </c>
      <c r="D24" s="1">
        <f>Mumberes!E21*0.5</f>
        <v>2087.6957596163629</v>
      </c>
      <c r="E24" s="1">
        <f>Kabianga!C21*0.5</f>
        <v>13240.648577139207</v>
      </c>
      <c r="F24" s="1">
        <f>Kipsigis!B21*0.5</f>
        <v>8628.7775029511995</v>
      </c>
      <c r="H24" s="1">
        <f t="shared" si="0"/>
        <v>43216.02171730157</v>
      </c>
    </row>
    <row r="25" spans="1:8">
      <c r="A25" s="4">
        <v>2045</v>
      </c>
      <c r="B25" s="1">
        <f>Eor!C22 * 0.5</f>
        <v>9465.4768403146918</v>
      </c>
      <c r="C25" s="1">
        <f>Lanyuak!E22 * 0.5</f>
        <v>9021.6189217049832</v>
      </c>
      <c r="D25" s="1">
        <f>Mumberes!E22*0.5</f>
        <v>1987.9133901541188</v>
      </c>
      <c r="E25" s="1">
        <f>Kabianga!C22*0.5</f>
        <v>12436.425961654386</v>
      </c>
      <c r="F25" s="1">
        <f>Kipsigis!B22*0.5</f>
        <v>8108.7762284672744</v>
      </c>
      <c r="H25" s="1">
        <f t="shared" si="0"/>
        <v>41020.21134229545</v>
      </c>
    </row>
    <row r="26" spans="1:8">
      <c r="A26" s="4">
        <v>2046</v>
      </c>
      <c r="B26" s="1">
        <f>Eor!C23 * 0.5</f>
        <v>9086.6720715125775</v>
      </c>
      <c r="C26" s="1">
        <f>Lanyuak!E23 * 0.5</f>
        <v>8660.7674954725917</v>
      </c>
      <c r="D26" s="1">
        <f>Mumberes!E23*0.5</f>
        <v>1893.1553044483171</v>
      </c>
      <c r="E26" s="1">
        <f>Kabianga!C23*0.5</f>
        <v>11682.254084818462</v>
      </c>
      <c r="F26" s="1">
        <f>Kipsigis!B23*0.5</f>
        <v>7620.8021295266744</v>
      </c>
      <c r="H26" s="1">
        <f t="shared" si="0"/>
        <v>38943.651085778627</v>
      </c>
    </row>
    <row r="27" spans="1:8">
      <c r="A27" s="4">
        <v>2047</v>
      </c>
      <c r="B27" s="1">
        <f>Eor!C24 * 0.5</f>
        <v>8723.5536737595758</v>
      </c>
      <c r="C27" s="1">
        <f>Lanyuak!E24 * 0.5</f>
        <v>8314.8519376031127</v>
      </c>
      <c r="D27" s="1">
        <f>Mumberes!E24*0.5</f>
        <v>1803.1278900708526</v>
      </c>
      <c r="E27" s="1">
        <f>Kabianga!C24*0.5</f>
        <v>10974.755959379165</v>
      </c>
      <c r="F27" s="1">
        <f>Kipsigis!B24*0.5</f>
        <v>7162.7176227668178</v>
      </c>
      <c r="H27" s="1">
        <f t="shared" si="0"/>
        <v>36979.00708357952</v>
      </c>
    </row>
    <row r="28" spans="1:8">
      <c r="A28" s="4">
        <v>2048</v>
      </c>
      <c r="B28" s="1">
        <f>Eor!C25 * 0.5</f>
        <v>8375.4064186025262</v>
      </c>
      <c r="C28" s="1">
        <f>Lanyuak!E25 * 0.5</f>
        <v>7983.1914468508394</v>
      </c>
      <c r="D28" s="1">
        <f>Mumberes!E25*0.5</f>
        <v>1717.5667777095114</v>
      </c>
      <c r="E28" s="1">
        <f>Kabianga!C25*0.5</f>
        <v>10310.873073859155</v>
      </c>
      <c r="F28" s="1">
        <f>Kipsigis!B25*0.5</f>
        <v>6732.5862517652586</v>
      </c>
      <c r="H28" s="1">
        <f t="shared" si="0"/>
        <v>35119.623968787288</v>
      </c>
    </row>
    <row r="29" spans="1:8">
      <c r="A29" s="4">
        <v>2049</v>
      </c>
      <c r="B29" s="1">
        <f>Eor!C26 * 0.5</f>
        <v>8041.5643982624406</v>
      </c>
      <c r="C29" s="1">
        <f>Lanyuak!E26 * 0.5</f>
        <v>7665.1521771040534</v>
      </c>
      <c r="D29" s="1">
        <f>Mumberes!E26*0.5</f>
        <v>1636.2293750260644</v>
      </c>
      <c r="E29" s="1">
        <f>Kabianga!C26*0.5</f>
        <v>9687.7988219693689</v>
      </c>
      <c r="F29" s="1">
        <f>Kipsigis!B26*0.5</f>
        <v>6328.6301538744574</v>
      </c>
      <c r="H29" s="1">
        <f t="shared" si="0"/>
        <v>33359.374926236385</v>
      </c>
    </row>
    <row r="30" spans="1:8">
      <c r="A30" s="4">
        <v>2050</v>
      </c>
      <c r="B30" s="1">
        <f>Eor!C27 * 0.5</f>
        <v>7721.4012390776134</v>
      </c>
      <c r="C30" s="1">
        <f>Lanyuak!E27 * 0.5</f>
        <v>7360.1379152925938</v>
      </c>
      <c r="D30" s="1">
        <f>Mumberes!E27*0.5</f>
        <v>1558.8905083718901</v>
      </c>
      <c r="E30" s="1">
        <f>Kabianga!C27*0.5</f>
        <v>9102.9374812953502</v>
      </c>
      <c r="F30" s="1">
        <f>Kipsigis!B27*0.5</f>
        <v>5949.2039641650726</v>
      </c>
      <c r="H30" s="1">
        <f t="shared" si="0"/>
        <v>31692.571108202519</v>
      </c>
    </row>
    <row r="31" spans="1:8">
      <c r="A31" s="4">
        <v>2051</v>
      </c>
      <c r="B31" s="1">
        <f>Eor!C28 * 0.5</f>
        <v>7414.324221017876</v>
      </c>
      <c r="C31" s="1">
        <f>Lanyuak!E28 * 0.5</f>
        <v>7067.5844805720308</v>
      </c>
      <c r="D31" s="1">
        <f>Mumberes!E28*0.5</f>
        <v>1485.3397360344193</v>
      </c>
      <c r="E31" s="1">
        <f>Kabianga!C28*0.5</f>
        <v>8553.877133017395</v>
      </c>
      <c r="F31" s="1">
        <f>Kipsigis!B28*0.5</f>
        <v>5592.7776762136073</v>
      </c>
      <c r="H31" s="1">
        <f t="shared" si="0"/>
        <v>30113.903246855327</v>
      </c>
    </row>
    <row r="32" spans="1:8">
      <c r="A32" s="4">
        <v>2052</v>
      </c>
      <c r="B32" s="1">
        <f>Eor!C29 * 0.5</f>
        <v>7119.7705038679669</v>
      </c>
      <c r="C32" s="1">
        <f>Lanyuak!E29 * 0.5</f>
        <v>6786.9561304709987</v>
      </c>
      <c r="D32" s="1">
        <f>Mumberes!E29*0.5</f>
        <v>1415.3795725800105</v>
      </c>
      <c r="E32" s="1">
        <f>Kabianga!C29*0.5</f>
        <v>8038.3703557952222</v>
      </c>
      <c r="F32" s="1">
        <f>Kipsigis!B29*0.5</f>
        <v>5257.9244870002394</v>
      </c>
      <c r="H32" s="1">
        <f t="shared" si="0"/>
        <v>28618.401049714437</v>
      </c>
    </row>
    <row r="33" spans="1:8">
      <c r="A33" s="4">
        <v>2053</v>
      </c>
      <c r="B33" s="1">
        <f>Eor!C30 * 0.5</f>
        <v>6837.2045065434941</v>
      </c>
      <c r="C33" s="1">
        <f>Lanyuak!E30 * 0.5</f>
        <v>6517.7430655672761</v>
      </c>
      <c r="D33" s="1">
        <f>Mumberes!E30*0.5</f>
        <v>1348.8242206173168</v>
      </c>
      <c r="E33" s="1">
        <f>Kabianga!C30*0.5</f>
        <v>7554.3194027110685</v>
      </c>
      <c r="F33" s="1">
        <f>Kipsigis!B30*0.5</f>
        <v>4943.3115067709796</v>
      </c>
      <c r="H33" s="1">
        <f t="shared" si="0"/>
        <v>27201.402702210136</v>
      </c>
    </row>
    <row r="34" spans="1:8">
      <c r="A34" s="4">
        <v>2054</v>
      </c>
      <c r="B34" s="1">
        <f>Eor!C31 * 0.5</f>
        <v>6566.1159329912898</v>
      </c>
      <c r="C34" s="1">
        <f>Lanyuak!E31 * 0.5</f>
        <v>6259.4595500972864</v>
      </c>
      <c r="D34" s="1">
        <f>Mumberes!E31*0.5</f>
        <v>1285.4985947152195</v>
      </c>
      <c r="E34" s="1">
        <f>Kabianga!C31*0.5</f>
        <v>7099.7640917266144</v>
      </c>
      <c r="F34" s="1">
        <f>Kipsigis!B31*0.5</f>
        <v>4647.6921953213678</v>
      </c>
      <c r="H34" s="1">
        <f t="shared" si="0"/>
        <v>25858.53036485178</v>
      </c>
    </row>
    <row r="35" spans="1:8">
      <c r="A35" s="4">
        <v>2055</v>
      </c>
      <c r="B35" s="1">
        <f>Eor!C32 * 0.5</f>
        <v>6306.0181745283971</v>
      </c>
      <c r="C35" s="1">
        <f>Lanyuak!E32 * 0.5</f>
        <v>6011.6423911361526</v>
      </c>
      <c r="D35" s="1">
        <f>Mumberes!E32*0.5</f>
        <v>1225.2375218396292</v>
      </c>
      <c r="E35" s="1">
        <f>Kabianga!C32*0.5</f>
        <v>6672.871446290008</v>
      </c>
      <c r="F35" s="1">
        <f>Kipsigis!B32*0.5</f>
        <v>4369.8999056372986</v>
      </c>
      <c r="H35" s="1">
        <f t="shared" si="0"/>
        <v>24585.669439431484</v>
      </c>
    </row>
    <row r="36" spans="1:8">
      <c r="A36" s="4">
        <v>2056</v>
      </c>
      <c r="B36" s="1">
        <f>Eor!C33 * 0.5</f>
        <v>6056.4469434926796</v>
      </c>
      <c r="C36" s="1">
        <f>Lanyuak!E33 * 0.5</f>
        <v>5773.8496380910965</v>
      </c>
      <c r="D36" s="1">
        <f>Mumberes!E33*0.5</f>
        <v>1167.8850554181827</v>
      </c>
      <c r="E36" s="1">
        <f>Kabianga!C33*0.5</f>
        <v>6271.9265512283573</v>
      </c>
      <c r="F36" s="1">
        <f>Kipsigis!B33*0.5</f>
        <v>4108.8421918768709</v>
      </c>
      <c r="H36" s="1">
        <f t="shared" si="0"/>
        <v>23378.950380107184</v>
      </c>
    </row>
    <row r="37" spans="1:8">
      <c r="A37" s="4">
        <v>2057</v>
      </c>
      <c r="B37" s="1">
        <f>Eor!C34 * 0.5</f>
        <v>5816.9590593762714</v>
      </c>
      <c r="C37" s="1">
        <f>Lanyuak!E34 * 0.5</f>
        <v>5545.6594273999526</v>
      </c>
      <c r="D37" s="1">
        <f>Mumberes!E34*0.5</f>
        <v>1113.293868148319</v>
      </c>
      <c r="E37" s="1">
        <f>Kabianga!C34*0.5</f>
        <v>5895.3243176425931</v>
      </c>
      <c r="F37" s="1">
        <f>Kipsigis!B34*0.5</f>
        <v>3863.4956858470841</v>
      </c>
      <c r="H37" s="1">
        <f t="shared" si="0"/>
        <v>22234.732358414221</v>
      </c>
    </row>
    <row r="38" spans="1:8">
      <c r="A38" s="4">
        <v>2058</v>
      </c>
      <c r="B38" s="1">
        <f>Eor!C35 * 0.5</f>
        <v>5587.1313437476465</v>
      </c>
      <c r="C38" s="1">
        <f>Lanyuak!E35 * 0.5</f>
        <v>5326.6689308246532</v>
      </c>
      <c r="D38" s="1">
        <f>Mumberes!E35*0.5</f>
        <v>1061.3247036134269</v>
      </c>
      <c r="E38" s="1">
        <f>Kabianga!C35*0.5</f>
        <v>5541.5619734647053</v>
      </c>
      <c r="F38" s="1">
        <f>Kipsigis!B35*0.5</f>
        <v>3632.901425237304</v>
      </c>
      <c r="H38" s="1">
        <f t="shared" si="0"/>
        <v>21149.588376887736</v>
      </c>
    </row>
    <row r="39" spans="1:8">
      <c r="A39" s="4">
        <v>2059</v>
      </c>
      <c r="B39" s="1">
        <f>Eor!C36 * 0.5</f>
        <v>5366.5595990233405</v>
      </c>
      <c r="C39" s="1">
        <f>Lanyuak!E36 * 0.5</f>
        <v>5116.4933835707106</v>
      </c>
      <c r="D39" s="1">
        <f>Mumberes!E36*0.5</f>
        <v>1011.8458747791562</v>
      </c>
      <c r="E39" s="1">
        <f>Kabianga!C36*0.5</f>
        <v>5209.232163280627</v>
      </c>
      <c r="F39" s="1">
        <f>Kipsigis!B36*0.5</f>
        <v>3416.1605599147247</v>
      </c>
      <c r="H39" s="1">
        <f t="shared" si="0"/>
        <v>20120.291580568559</v>
      </c>
    </row>
    <row r="40" spans="1:8">
      <c r="A40" s="4">
        <v>2060</v>
      </c>
      <c r="B40" s="1">
        <f>Eor!C37 * 0.5</f>
        <v>5154.8576561751688</v>
      </c>
      <c r="C40" s="1">
        <f>Lanyuak!E37 * 0.5</f>
        <v>4914.7651780344277</v>
      </c>
      <c r="D40" s="1">
        <f>Mumberes!E37*0.5</f>
        <v>964.73280181969437</v>
      </c>
      <c r="E40" s="1">
        <f>Kabianga!C37*0.5</f>
        <v>4897.0165780094267</v>
      </c>
      <c r="F40" s="1">
        <f>Kipsigis!B37*0.5</f>
        <v>3212.4303862977745</v>
      </c>
      <c r="H40" s="1">
        <f t="shared" si="0"/>
        <v>19143.802600336494</v>
      </c>
    </row>
    <row r="41" spans="1:8">
      <c r="A41" s="4">
        <v>2061</v>
      </c>
      <c r="B41" s="1">
        <f>Eor!C38 * 0.5</f>
        <v>4951.6564819045961</v>
      </c>
      <c r="C41" s="1">
        <f>Lanyuak!E38 * 0.5</f>
        <v>4721.1330141550043</v>
      </c>
      <c r="D41" s="1">
        <f>Mumberes!E38*0.5</f>
        <v>919.8675841297968</v>
      </c>
      <c r="E41" s="1">
        <f>Kabianga!C38*0.5</f>
        <v>4603.6800562993867</v>
      </c>
      <c r="F41" s="1">
        <f>Kipsigis!B38*0.5</f>
        <v>3020.9206734474551</v>
      </c>
      <c r="H41" s="1">
        <f t="shared" si="0"/>
        <v>18217.25780993624</v>
      </c>
    </row>
    <row r="42" spans="1:8">
      <c r="A42" s="4">
        <v>2062</v>
      </c>
      <c r="B42" s="1">
        <f>Eor!C39 * 0.5</f>
        <v>4756.6033387855132</v>
      </c>
      <c r="C42" s="1">
        <f>Lanyuak!E39 * 0.5</f>
        <v>4535.2611001855894</v>
      </c>
      <c r="D42" s="1">
        <f>Mumberes!E39*0.5</f>
        <v>877.13860276155879</v>
      </c>
      <c r="E42" s="1">
        <f>Kabianga!C39*0.5</f>
        <v>4328.0651120749772</v>
      </c>
      <c r="F42" s="1">
        <f>Kipsigis!B39*0.5</f>
        <v>2840.8902525057142</v>
      </c>
      <c r="H42" s="1">
        <f t="shared" si="0"/>
        <v>17337.958406313352</v>
      </c>
    </row>
    <row r="43" spans="1:8">
      <c r="A43" s="4">
        <v>2063</v>
      </c>
      <c r="B43" s="1">
        <f>Eor!C40 * 0.5</f>
        <v>4569.3609935896975</v>
      </c>
      <c r="C43" s="1">
        <f>Lanyuak!E40 * 0.5</f>
        <v>4356.8283993253917</v>
      </c>
      <c r="D43" s="1">
        <f>Mumberes!E40*0.5</f>
        <v>836.44015034376321</v>
      </c>
      <c r="E43" s="1">
        <f>Kabianga!C40*0.5</f>
        <v>4069.0868505977487</v>
      </c>
      <c r="F43" s="1">
        <f>Kipsigis!B40*0.5</f>
        <v>2671.6438461744533</v>
      </c>
      <c r="H43" s="1">
        <f t="shared" si="0"/>
        <v>16503.360240031056</v>
      </c>
    </row>
    <row r="44" spans="1:8">
      <c r="A44" s="4">
        <v>2064</v>
      </c>
      <c r="B44" s="1">
        <f>Eor!C41 * 0.5</f>
        <v>4389.6069699741929</v>
      </c>
      <c r="C44" s="1">
        <f>Lanyuak!E41 * 0.5</f>
        <v>4185.5279185710624</v>
      </c>
      <c r="D44" s="1">
        <f>Mumberes!E41*0.5</f>
        <v>797.672086058167</v>
      </c>
      <c r="E44" s="1">
        <f>Kabianga!C41*0.5</f>
        <v>3825.7282408424107</v>
      </c>
      <c r="F44" s="1">
        <f>Kipsigis!B41*0.5</f>
        <v>2512.5291183237678</v>
      </c>
      <c r="H44" s="1">
        <f t="shared" si="0"/>
        <v>15711.0643337696</v>
      </c>
    </row>
    <row r="45" spans="1:8">
      <c r="A45" s="4">
        <v>2065</v>
      </c>
      <c r="B45" s="1">
        <f>Eor!C42 * 0.5</f>
        <v>4217.0328423398705</v>
      </c>
      <c r="C45" s="1">
        <f>Lanyuak!E42 * 0.5</f>
        <v>4021.0660367591709</v>
      </c>
      <c r="D45" s="1">
        <f>Mumberes!E42*0.5</f>
        <v>760.73951359842454</v>
      </c>
      <c r="E45" s="1">
        <f>Kabianga!C42*0.5</f>
        <v>3597.035715759579</v>
      </c>
      <c r="F45" s="1">
        <f>Kipsigis!B42*0.5</f>
        <v>2362.933926188965</v>
      </c>
      <c r="H45" s="1">
        <f t="shared" si="0"/>
        <v>14958.80803464601</v>
      </c>
    </row>
    <row r="47" spans="1:8">
      <c r="G47" s="1" t="s">
        <v>21</v>
      </c>
      <c r="H47" s="1">
        <f>SUM(H6:H45)</f>
        <v>3110457.6375801065</v>
      </c>
    </row>
    <row r="48" spans="1:8">
      <c r="G48" s="1" t="s">
        <v>20</v>
      </c>
      <c r="H48" s="1">
        <f>H47/40</f>
        <v>77761.44093950266</v>
      </c>
    </row>
    <row r="50" spans="7:8">
      <c r="G50" s="1" t="s">
        <v>24</v>
      </c>
      <c r="H50" s="1">
        <f>AVERAGE(H6:H15)</f>
        <v>208173.72087452511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6C41C-1BC9-EA45-B875-C5F0B93D7AE5}">
  <dimension ref="A2:H47"/>
  <sheetViews>
    <sheetView topLeftCell="A15" zoomScale="142" workbookViewId="0">
      <selection activeCell="L48" sqref="L48"/>
    </sheetView>
  </sheetViews>
  <sheetFormatPr baseColWidth="10" defaultRowHeight="16"/>
  <cols>
    <col min="1" max="1" width="16.5" customWidth="1"/>
    <col min="8" max="8" width="14" customWidth="1"/>
  </cols>
  <sheetData>
    <row r="2" spans="1:8">
      <c r="A2" t="s">
        <v>9</v>
      </c>
      <c r="B2">
        <v>4387</v>
      </c>
      <c r="C2">
        <v>4636</v>
      </c>
      <c r="D2">
        <v>1310</v>
      </c>
      <c r="E2">
        <v>15358</v>
      </c>
      <c r="F2">
        <v>9678</v>
      </c>
    </row>
    <row r="3" spans="1:8">
      <c r="A3" t="s">
        <v>31</v>
      </c>
      <c r="B3">
        <v>0.03</v>
      </c>
      <c r="C3">
        <v>0.1</v>
      </c>
      <c r="D3">
        <v>0.03</v>
      </c>
      <c r="E3">
        <v>0.01</v>
      </c>
      <c r="F3">
        <v>0.01</v>
      </c>
    </row>
    <row r="5" spans="1:8">
      <c r="A5" s="1" t="s">
        <v>18</v>
      </c>
    </row>
    <row r="7" spans="1:8">
      <c r="A7" s="7" t="s">
        <v>25</v>
      </c>
      <c r="B7" s="7" t="s">
        <v>26</v>
      </c>
      <c r="C7" s="7" t="s">
        <v>27</v>
      </c>
      <c r="D7" s="7" t="s">
        <v>28</v>
      </c>
      <c r="E7" s="7" t="s">
        <v>29</v>
      </c>
      <c r="F7" s="7" t="s">
        <v>30</v>
      </c>
      <c r="G7" s="7"/>
      <c r="H7" s="7" t="s">
        <v>35</v>
      </c>
    </row>
    <row r="8" spans="1:8">
      <c r="A8">
        <v>2026</v>
      </c>
      <c r="B8">
        <f>B$3*B$2</f>
        <v>131.60999999999999</v>
      </c>
      <c r="C8">
        <f t="shared" ref="C8:F23" si="0">C$3*C$2</f>
        <v>463.6</v>
      </c>
      <c r="D8">
        <f t="shared" si="0"/>
        <v>39.299999999999997</v>
      </c>
      <c r="E8">
        <f t="shared" si="0"/>
        <v>153.58000000000001</v>
      </c>
      <c r="F8">
        <f>F$3*F$2</f>
        <v>96.78</v>
      </c>
      <c r="H8">
        <f>SUM(B8:F8) * 0.5</f>
        <v>442.435</v>
      </c>
    </row>
    <row r="9" spans="1:8">
      <c r="A9">
        <v>2027</v>
      </c>
      <c r="B9">
        <f t="shared" ref="B9:F24" si="1">B$3*B$2</f>
        <v>131.60999999999999</v>
      </c>
      <c r="C9">
        <f t="shared" si="0"/>
        <v>463.6</v>
      </c>
      <c r="D9">
        <f t="shared" si="0"/>
        <v>39.299999999999997</v>
      </c>
      <c r="E9">
        <f t="shared" si="0"/>
        <v>153.58000000000001</v>
      </c>
      <c r="F9">
        <f t="shared" si="0"/>
        <v>96.78</v>
      </c>
      <c r="H9">
        <f t="shared" ref="H9:H47" si="2">SUM(B9:F9) * 0.5</f>
        <v>442.435</v>
      </c>
    </row>
    <row r="10" spans="1:8">
      <c r="A10">
        <v>2028</v>
      </c>
      <c r="B10">
        <f t="shared" si="1"/>
        <v>131.60999999999999</v>
      </c>
      <c r="C10">
        <f t="shared" si="0"/>
        <v>463.6</v>
      </c>
      <c r="D10">
        <f t="shared" si="0"/>
        <v>39.299999999999997</v>
      </c>
      <c r="E10">
        <f t="shared" si="0"/>
        <v>153.58000000000001</v>
      </c>
      <c r="F10">
        <f t="shared" si="0"/>
        <v>96.78</v>
      </c>
      <c r="H10">
        <f t="shared" si="2"/>
        <v>442.435</v>
      </c>
    </row>
    <row r="11" spans="1:8">
      <c r="A11">
        <v>2029</v>
      </c>
      <c r="B11">
        <f t="shared" si="1"/>
        <v>131.60999999999999</v>
      </c>
      <c r="C11">
        <f t="shared" si="0"/>
        <v>463.6</v>
      </c>
      <c r="D11">
        <f t="shared" si="0"/>
        <v>39.299999999999997</v>
      </c>
      <c r="E11">
        <f t="shared" si="0"/>
        <v>153.58000000000001</v>
      </c>
      <c r="F11">
        <f t="shared" si="0"/>
        <v>96.78</v>
      </c>
      <c r="H11">
        <f t="shared" si="2"/>
        <v>442.435</v>
      </c>
    </row>
    <row r="12" spans="1:8">
      <c r="A12">
        <v>2030</v>
      </c>
      <c r="B12">
        <f t="shared" si="1"/>
        <v>131.60999999999999</v>
      </c>
      <c r="C12">
        <f t="shared" si="0"/>
        <v>463.6</v>
      </c>
      <c r="D12">
        <f t="shared" si="0"/>
        <v>39.299999999999997</v>
      </c>
      <c r="E12">
        <f t="shared" si="0"/>
        <v>153.58000000000001</v>
      </c>
      <c r="F12">
        <f t="shared" si="0"/>
        <v>96.78</v>
      </c>
      <c r="H12">
        <f t="shared" si="2"/>
        <v>442.435</v>
      </c>
    </row>
    <row r="13" spans="1:8">
      <c r="A13">
        <v>2031</v>
      </c>
      <c r="B13">
        <f t="shared" si="1"/>
        <v>131.60999999999999</v>
      </c>
      <c r="C13">
        <f t="shared" si="0"/>
        <v>463.6</v>
      </c>
      <c r="D13">
        <f t="shared" si="0"/>
        <v>39.299999999999997</v>
      </c>
      <c r="E13">
        <f t="shared" si="0"/>
        <v>153.58000000000001</v>
      </c>
      <c r="F13">
        <f t="shared" si="0"/>
        <v>96.78</v>
      </c>
      <c r="H13">
        <f t="shared" si="2"/>
        <v>442.435</v>
      </c>
    </row>
    <row r="14" spans="1:8">
      <c r="A14">
        <v>2032</v>
      </c>
      <c r="B14">
        <f t="shared" si="1"/>
        <v>131.60999999999999</v>
      </c>
      <c r="C14">
        <f t="shared" si="0"/>
        <v>463.6</v>
      </c>
      <c r="D14">
        <f t="shared" si="0"/>
        <v>39.299999999999997</v>
      </c>
      <c r="E14">
        <f t="shared" si="0"/>
        <v>153.58000000000001</v>
      </c>
      <c r="F14">
        <f t="shared" si="0"/>
        <v>96.78</v>
      </c>
      <c r="H14">
        <f t="shared" si="2"/>
        <v>442.435</v>
      </c>
    </row>
    <row r="15" spans="1:8">
      <c r="A15">
        <v>2033</v>
      </c>
      <c r="B15">
        <f t="shared" si="1"/>
        <v>131.60999999999999</v>
      </c>
      <c r="C15">
        <f t="shared" si="0"/>
        <v>463.6</v>
      </c>
      <c r="D15">
        <f t="shared" si="0"/>
        <v>39.299999999999997</v>
      </c>
      <c r="E15">
        <f t="shared" si="0"/>
        <v>153.58000000000001</v>
      </c>
      <c r="F15">
        <f t="shared" si="0"/>
        <v>96.78</v>
      </c>
      <c r="H15">
        <f t="shared" si="2"/>
        <v>442.435</v>
      </c>
    </row>
    <row r="16" spans="1:8">
      <c r="A16">
        <v>2034</v>
      </c>
      <c r="B16">
        <f t="shared" si="1"/>
        <v>131.60999999999999</v>
      </c>
      <c r="C16">
        <f t="shared" si="0"/>
        <v>463.6</v>
      </c>
      <c r="D16">
        <f t="shared" si="0"/>
        <v>39.299999999999997</v>
      </c>
      <c r="E16">
        <f t="shared" si="0"/>
        <v>153.58000000000001</v>
      </c>
      <c r="F16">
        <f t="shared" si="0"/>
        <v>96.78</v>
      </c>
      <c r="H16">
        <f t="shared" si="2"/>
        <v>442.435</v>
      </c>
    </row>
    <row r="17" spans="1:8">
      <c r="A17">
        <v>2035</v>
      </c>
      <c r="B17">
        <f t="shared" si="1"/>
        <v>131.60999999999999</v>
      </c>
      <c r="C17">
        <f t="shared" si="0"/>
        <v>463.6</v>
      </c>
      <c r="D17">
        <f t="shared" si="0"/>
        <v>39.299999999999997</v>
      </c>
      <c r="E17">
        <f t="shared" si="0"/>
        <v>153.58000000000001</v>
      </c>
      <c r="F17">
        <f t="shared" si="0"/>
        <v>96.78</v>
      </c>
      <c r="H17">
        <f t="shared" si="2"/>
        <v>442.435</v>
      </c>
    </row>
    <row r="18" spans="1:8">
      <c r="A18">
        <v>2036</v>
      </c>
      <c r="B18">
        <f t="shared" si="1"/>
        <v>131.60999999999999</v>
      </c>
      <c r="C18">
        <f t="shared" si="0"/>
        <v>463.6</v>
      </c>
      <c r="D18">
        <f t="shared" si="0"/>
        <v>39.299999999999997</v>
      </c>
      <c r="E18">
        <f t="shared" si="0"/>
        <v>153.58000000000001</v>
      </c>
      <c r="F18">
        <f t="shared" si="0"/>
        <v>96.78</v>
      </c>
      <c r="H18">
        <f t="shared" si="2"/>
        <v>442.435</v>
      </c>
    </row>
    <row r="19" spans="1:8">
      <c r="A19">
        <v>2037</v>
      </c>
      <c r="B19">
        <f t="shared" si="1"/>
        <v>131.60999999999999</v>
      </c>
      <c r="C19">
        <f t="shared" si="0"/>
        <v>463.6</v>
      </c>
      <c r="D19">
        <f t="shared" si="0"/>
        <v>39.299999999999997</v>
      </c>
      <c r="E19">
        <f t="shared" si="0"/>
        <v>153.58000000000001</v>
      </c>
      <c r="F19">
        <f t="shared" si="0"/>
        <v>96.78</v>
      </c>
      <c r="H19">
        <f t="shared" si="2"/>
        <v>442.435</v>
      </c>
    </row>
    <row r="20" spans="1:8">
      <c r="A20">
        <v>2038</v>
      </c>
      <c r="B20">
        <f t="shared" si="1"/>
        <v>131.60999999999999</v>
      </c>
      <c r="C20">
        <f t="shared" si="0"/>
        <v>463.6</v>
      </c>
      <c r="D20">
        <f t="shared" si="0"/>
        <v>39.299999999999997</v>
      </c>
      <c r="E20">
        <f t="shared" si="0"/>
        <v>153.58000000000001</v>
      </c>
      <c r="F20">
        <f t="shared" si="0"/>
        <v>96.78</v>
      </c>
      <c r="H20">
        <f t="shared" si="2"/>
        <v>442.435</v>
      </c>
    </row>
    <row r="21" spans="1:8">
      <c r="A21">
        <v>2039</v>
      </c>
      <c r="B21">
        <f t="shared" si="1"/>
        <v>131.60999999999999</v>
      </c>
      <c r="C21">
        <f t="shared" si="0"/>
        <v>463.6</v>
      </c>
      <c r="D21">
        <f t="shared" si="0"/>
        <v>39.299999999999997</v>
      </c>
      <c r="E21">
        <f t="shared" si="0"/>
        <v>153.58000000000001</v>
      </c>
      <c r="F21">
        <f t="shared" si="0"/>
        <v>96.78</v>
      </c>
      <c r="H21">
        <f t="shared" si="2"/>
        <v>442.435</v>
      </c>
    </row>
    <row r="22" spans="1:8">
      <c r="A22">
        <v>2040</v>
      </c>
      <c r="B22">
        <f t="shared" si="1"/>
        <v>131.60999999999999</v>
      </c>
      <c r="C22">
        <f t="shared" si="0"/>
        <v>463.6</v>
      </c>
      <c r="D22">
        <f t="shared" si="0"/>
        <v>39.299999999999997</v>
      </c>
      <c r="E22">
        <f t="shared" si="0"/>
        <v>153.58000000000001</v>
      </c>
      <c r="F22">
        <f t="shared" si="0"/>
        <v>96.78</v>
      </c>
      <c r="H22">
        <f t="shared" si="2"/>
        <v>442.435</v>
      </c>
    </row>
    <row r="23" spans="1:8">
      <c r="A23">
        <v>2041</v>
      </c>
      <c r="B23">
        <f t="shared" si="1"/>
        <v>131.60999999999999</v>
      </c>
      <c r="C23">
        <f t="shared" si="0"/>
        <v>463.6</v>
      </c>
      <c r="D23">
        <f t="shared" si="0"/>
        <v>39.299999999999997</v>
      </c>
      <c r="E23">
        <f t="shared" si="0"/>
        <v>153.58000000000001</v>
      </c>
      <c r="F23">
        <f t="shared" si="0"/>
        <v>96.78</v>
      </c>
      <c r="H23">
        <f t="shared" si="2"/>
        <v>442.435</v>
      </c>
    </row>
    <row r="24" spans="1:8">
      <c r="A24">
        <v>2042</v>
      </c>
      <c r="B24">
        <f t="shared" si="1"/>
        <v>131.60999999999999</v>
      </c>
      <c r="C24">
        <f t="shared" si="1"/>
        <v>463.6</v>
      </c>
      <c r="D24">
        <f t="shared" si="1"/>
        <v>39.299999999999997</v>
      </c>
      <c r="E24">
        <f t="shared" si="1"/>
        <v>153.58000000000001</v>
      </c>
      <c r="F24">
        <f t="shared" si="1"/>
        <v>96.78</v>
      </c>
      <c r="H24">
        <f t="shared" si="2"/>
        <v>442.435</v>
      </c>
    </row>
    <row r="25" spans="1:8">
      <c r="A25">
        <v>2043</v>
      </c>
      <c r="B25">
        <f t="shared" ref="B25:F47" si="3">B$3*B$2</f>
        <v>131.60999999999999</v>
      </c>
      <c r="C25">
        <f t="shared" si="3"/>
        <v>463.6</v>
      </c>
      <c r="D25">
        <f t="shared" si="3"/>
        <v>39.299999999999997</v>
      </c>
      <c r="E25">
        <f t="shared" si="3"/>
        <v>153.58000000000001</v>
      </c>
      <c r="F25">
        <f t="shared" si="3"/>
        <v>96.78</v>
      </c>
      <c r="H25">
        <f t="shared" si="2"/>
        <v>442.435</v>
      </c>
    </row>
    <row r="26" spans="1:8">
      <c r="A26">
        <v>2044</v>
      </c>
      <c r="B26">
        <f t="shared" si="3"/>
        <v>131.60999999999999</v>
      </c>
      <c r="C26">
        <f t="shared" si="3"/>
        <v>463.6</v>
      </c>
      <c r="D26">
        <f t="shared" si="3"/>
        <v>39.299999999999997</v>
      </c>
      <c r="E26">
        <f t="shared" si="3"/>
        <v>153.58000000000001</v>
      </c>
      <c r="F26">
        <f t="shared" si="3"/>
        <v>96.78</v>
      </c>
      <c r="H26">
        <f t="shared" si="2"/>
        <v>442.435</v>
      </c>
    </row>
    <row r="27" spans="1:8">
      <c r="A27">
        <v>2045</v>
      </c>
      <c r="B27">
        <f t="shared" si="3"/>
        <v>131.60999999999999</v>
      </c>
      <c r="C27">
        <f t="shared" si="3"/>
        <v>463.6</v>
      </c>
      <c r="D27">
        <f t="shared" si="3"/>
        <v>39.299999999999997</v>
      </c>
      <c r="E27">
        <f t="shared" si="3"/>
        <v>153.58000000000001</v>
      </c>
      <c r="F27">
        <f t="shared" si="3"/>
        <v>96.78</v>
      </c>
      <c r="H27">
        <f t="shared" si="2"/>
        <v>442.435</v>
      </c>
    </row>
    <row r="28" spans="1:8">
      <c r="A28">
        <v>2046</v>
      </c>
      <c r="B28">
        <f t="shared" si="3"/>
        <v>131.60999999999999</v>
      </c>
      <c r="C28">
        <f t="shared" si="3"/>
        <v>463.6</v>
      </c>
      <c r="D28">
        <f t="shared" si="3"/>
        <v>39.299999999999997</v>
      </c>
      <c r="E28">
        <f t="shared" si="3"/>
        <v>153.58000000000001</v>
      </c>
      <c r="F28">
        <f t="shared" si="3"/>
        <v>96.78</v>
      </c>
      <c r="H28">
        <f t="shared" si="2"/>
        <v>442.435</v>
      </c>
    </row>
    <row r="29" spans="1:8">
      <c r="A29">
        <v>2047</v>
      </c>
      <c r="B29">
        <f t="shared" si="3"/>
        <v>131.60999999999999</v>
      </c>
      <c r="C29">
        <f t="shared" si="3"/>
        <v>463.6</v>
      </c>
      <c r="D29">
        <f t="shared" si="3"/>
        <v>39.299999999999997</v>
      </c>
      <c r="E29">
        <f t="shared" si="3"/>
        <v>153.58000000000001</v>
      </c>
      <c r="F29">
        <f t="shared" si="3"/>
        <v>96.78</v>
      </c>
      <c r="H29">
        <f t="shared" si="2"/>
        <v>442.435</v>
      </c>
    </row>
    <row r="30" spans="1:8">
      <c r="A30">
        <v>2048</v>
      </c>
      <c r="B30">
        <f t="shared" si="3"/>
        <v>131.60999999999999</v>
      </c>
      <c r="C30">
        <f t="shared" si="3"/>
        <v>463.6</v>
      </c>
      <c r="D30">
        <f t="shared" si="3"/>
        <v>39.299999999999997</v>
      </c>
      <c r="E30">
        <f t="shared" si="3"/>
        <v>153.58000000000001</v>
      </c>
      <c r="F30">
        <f t="shared" si="3"/>
        <v>96.78</v>
      </c>
      <c r="H30">
        <f t="shared" si="2"/>
        <v>442.435</v>
      </c>
    </row>
    <row r="31" spans="1:8">
      <c r="A31">
        <v>2049</v>
      </c>
      <c r="B31">
        <f t="shared" si="3"/>
        <v>131.60999999999999</v>
      </c>
      <c r="C31">
        <f t="shared" si="3"/>
        <v>463.6</v>
      </c>
      <c r="D31">
        <f t="shared" si="3"/>
        <v>39.299999999999997</v>
      </c>
      <c r="E31">
        <f t="shared" si="3"/>
        <v>153.58000000000001</v>
      </c>
      <c r="F31">
        <f t="shared" si="3"/>
        <v>96.78</v>
      </c>
      <c r="H31">
        <f t="shared" si="2"/>
        <v>442.435</v>
      </c>
    </row>
    <row r="32" spans="1:8">
      <c r="A32">
        <v>2050</v>
      </c>
      <c r="B32">
        <f t="shared" si="3"/>
        <v>131.60999999999999</v>
      </c>
      <c r="C32">
        <f t="shared" si="3"/>
        <v>463.6</v>
      </c>
      <c r="D32">
        <f t="shared" si="3"/>
        <v>39.299999999999997</v>
      </c>
      <c r="E32">
        <f t="shared" si="3"/>
        <v>153.58000000000001</v>
      </c>
      <c r="F32">
        <f t="shared" si="3"/>
        <v>96.78</v>
      </c>
      <c r="H32">
        <f t="shared" si="2"/>
        <v>442.435</v>
      </c>
    </row>
    <row r="33" spans="1:8">
      <c r="A33">
        <v>2051</v>
      </c>
      <c r="B33">
        <f t="shared" si="3"/>
        <v>131.60999999999999</v>
      </c>
      <c r="C33">
        <f t="shared" si="3"/>
        <v>463.6</v>
      </c>
      <c r="D33">
        <f t="shared" si="3"/>
        <v>39.299999999999997</v>
      </c>
      <c r="E33">
        <f t="shared" si="3"/>
        <v>153.58000000000001</v>
      </c>
      <c r="F33">
        <f t="shared" si="3"/>
        <v>96.78</v>
      </c>
      <c r="H33">
        <f t="shared" si="2"/>
        <v>442.435</v>
      </c>
    </row>
    <row r="34" spans="1:8">
      <c r="A34">
        <v>2052</v>
      </c>
      <c r="B34">
        <f t="shared" si="3"/>
        <v>131.60999999999999</v>
      </c>
      <c r="C34">
        <f t="shared" si="3"/>
        <v>463.6</v>
      </c>
      <c r="D34">
        <f t="shared" si="3"/>
        <v>39.299999999999997</v>
      </c>
      <c r="E34">
        <f t="shared" si="3"/>
        <v>153.58000000000001</v>
      </c>
      <c r="F34">
        <f t="shared" si="3"/>
        <v>96.78</v>
      </c>
      <c r="H34">
        <f t="shared" si="2"/>
        <v>442.435</v>
      </c>
    </row>
    <row r="35" spans="1:8">
      <c r="A35">
        <v>2053</v>
      </c>
      <c r="B35">
        <f t="shared" si="3"/>
        <v>131.60999999999999</v>
      </c>
      <c r="C35">
        <f t="shared" si="3"/>
        <v>463.6</v>
      </c>
      <c r="D35">
        <f t="shared" si="3"/>
        <v>39.299999999999997</v>
      </c>
      <c r="E35">
        <f t="shared" si="3"/>
        <v>153.58000000000001</v>
      </c>
      <c r="F35">
        <f t="shared" si="3"/>
        <v>96.78</v>
      </c>
      <c r="H35">
        <f t="shared" si="2"/>
        <v>442.435</v>
      </c>
    </row>
    <row r="36" spans="1:8">
      <c r="A36">
        <v>2054</v>
      </c>
      <c r="B36">
        <f t="shared" si="3"/>
        <v>131.60999999999999</v>
      </c>
      <c r="C36">
        <f t="shared" si="3"/>
        <v>463.6</v>
      </c>
      <c r="D36">
        <f t="shared" si="3"/>
        <v>39.299999999999997</v>
      </c>
      <c r="E36">
        <f t="shared" si="3"/>
        <v>153.58000000000001</v>
      </c>
      <c r="F36">
        <f t="shared" si="3"/>
        <v>96.78</v>
      </c>
      <c r="H36">
        <f t="shared" si="2"/>
        <v>442.435</v>
      </c>
    </row>
    <row r="37" spans="1:8">
      <c r="A37">
        <v>2055</v>
      </c>
      <c r="B37">
        <f t="shared" si="3"/>
        <v>131.60999999999999</v>
      </c>
      <c r="C37">
        <f t="shared" si="3"/>
        <v>463.6</v>
      </c>
      <c r="D37">
        <f t="shared" si="3"/>
        <v>39.299999999999997</v>
      </c>
      <c r="E37">
        <f t="shared" si="3"/>
        <v>153.58000000000001</v>
      </c>
      <c r="F37">
        <f t="shared" si="3"/>
        <v>96.78</v>
      </c>
      <c r="H37">
        <f t="shared" si="2"/>
        <v>442.435</v>
      </c>
    </row>
    <row r="38" spans="1:8">
      <c r="A38">
        <v>2056</v>
      </c>
      <c r="B38">
        <f t="shared" si="3"/>
        <v>131.60999999999999</v>
      </c>
      <c r="C38">
        <f t="shared" si="3"/>
        <v>463.6</v>
      </c>
      <c r="D38">
        <f t="shared" si="3"/>
        <v>39.299999999999997</v>
      </c>
      <c r="E38">
        <f t="shared" si="3"/>
        <v>153.58000000000001</v>
      </c>
      <c r="F38">
        <f t="shared" si="3"/>
        <v>96.78</v>
      </c>
      <c r="H38">
        <f t="shared" si="2"/>
        <v>442.435</v>
      </c>
    </row>
    <row r="39" spans="1:8">
      <c r="A39">
        <v>2057</v>
      </c>
      <c r="B39">
        <f t="shared" si="3"/>
        <v>131.60999999999999</v>
      </c>
      <c r="C39">
        <f t="shared" si="3"/>
        <v>463.6</v>
      </c>
      <c r="D39">
        <f t="shared" si="3"/>
        <v>39.299999999999997</v>
      </c>
      <c r="E39">
        <f t="shared" si="3"/>
        <v>153.58000000000001</v>
      </c>
      <c r="F39">
        <f t="shared" si="3"/>
        <v>96.78</v>
      </c>
      <c r="H39">
        <f t="shared" si="2"/>
        <v>442.435</v>
      </c>
    </row>
    <row r="40" spans="1:8">
      <c r="A40">
        <v>2058</v>
      </c>
      <c r="B40">
        <f t="shared" si="3"/>
        <v>131.60999999999999</v>
      </c>
      <c r="C40">
        <f t="shared" si="3"/>
        <v>463.6</v>
      </c>
      <c r="D40">
        <f t="shared" si="3"/>
        <v>39.299999999999997</v>
      </c>
      <c r="E40">
        <f t="shared" si="3"/>
        <v>153.58000000000001</v>
      </c>
      <c r="F40">
        <f t="shared" si="3"/>
        <v>96.78</v>
      </c>
      <c r="H40">
        <f t="shared" si="2"/>
        <v>442.435</v>
      </c>
    </row>
    <row r="41" spans="1:8">
      <c r="A41">
        <v>2059</v>
      </c>
      <c r="B41">
        <f t="shared" si="3"/>
        <v>131.60999999999999</v>
      </c>
      <c r="C41">
        <f t="shared" si="3"/>
        <v>463.6</v>
      </c>
      <c r="D41">
        <f t="shared" si="3"/>
        <v>39.299999999999997</v>
      </c>
      <c r="E41">
        <f t="shared" si="3"/>
        <v>153.58000000000001</v>
      </c>
      <c r="F41">
        <f t="shared" si="3"/>
        <v>96.78</v>
      </c>
      <c r="H41">
        <f t="shared" si="2"/>
        <v>442.435</v>
      </c>
    </row>
    <row r="42" spans="1:8">
      <c r="A42">
        <v>2060</v>
      </c>
      <c r="B42">
        <f t="shared" si="3"/>
        <v>131.60999999999999</v>
      </c>
      <c r="C42">
        <f t="shared" si="3"/>
        <v>463.6</v>
      </c>
      <c r="D42">
        <f t="shared" si="3"/>
        <v>39.299999999999997</v>
      </c>
      <c r="E42">
        <f t="shared" si="3"/>
        <v>153.58000000000001</v>
      </c>
      <c r="F42">
        <f t="shared" si="3"/>
        <v>96.78</v>
      </c>
      <c r="H42">
        <f t="shared" si="2"/>
        <v>442.435</v>
      </c>
    </row>
    <row r="43" spans="1:8">
      <c r="A43">
        <v>2061</v>
      </c>
      <c r="B43">
        <f t="shared" si="3"/>
        <v>131.60999999999999</v>
      </c>
      <c r="C43">
        <f t="shared" si="3"/>
        <v>463.6</v>
      </c>
      <c r="D43">
        <f t="shared" si="3"/>
        <v>39.299999999999997</v>
      </c>
      <c r="E43">
        <f t="shared" si="3"/>
        <v>153.58000000000001</v>
      </c>
      <c r="F43">
        <f t="shared" si="3"/>
        <v>96.78</v>
      </c>
      <c r="H43">
        <f t="shared" si="2"/>
        <v>442.435</v>
      </c>
    </row>
    <row r="44" spans="1:8">
      <c r="A44">
        <v>2062</v>
      </c>
      <c r="B44">
        <f t="shared" si="3"/>
        <v>131.60999999999999</v>
      </c>
      <c r="C44">
        <f t="shared" si="3"/>
        <v>463.6</v>
      </c>
      <c r="D44">
        <f t="shared" si="3"/>
        <v>39.299999999999997</v>
      </c>
      <c r="E44">
        <f t="shared" si="3"/>
        <v>153.58000000000001</v>
      </c>
      <c r="F44">
        <f t="shared" si="3"/>
        <v>96.78</v>
      </c>
      <c r="H44">
        <f t="shared" si="2"/>
        <v>442.435</v>
      </c>
    </row>
    <row r="45" spans="1:8">
      <c r="A45">
        <v>2063</v>
      </c>
      <c r="B45">
        <f t="shared" si="3"/>
        <v>131.60999999999999</v>
      </c>
      <c r="C45">
        <f t="shared" si="3"/>
        <v>463.6</v>
      </c>
      <c r="D45">
        <f t="shared" si="3"/>
        <v>39.299999999999997</v>
      </c>
      <c r="E45">
        <f t="shared" si="3"/>
        <v>153.58000000000001</v>
      </c>
      <c r="F45">
        <f t="shared" si="3"/>
        <v>96.78</v>
      </c>
      <c r="H45">
        <f t="shared" si="2"/>
        <v>442.435</v>
      </c>
    </row>
    <row r="46" spans="1:8">
      <c r="A46">
        <v>2064</v>
      </c>
      <c r="B46">
        <f t="shared" si="3"/>
        <v>131.60999999999999</v>
      </c>
      <c r="C46">
        <f t="shared" si="3"/>
        <v>463.6</v>
      </c>
      <c r="D46">
        <f t="shared" si="3"/>
        <v>39.299999999999997</v>
      </c>
      <c r="E46">
        <f t="shared" si="3"/>
        <v>153.58000000000001</v>
      </c>
      <c r="F46">
        <f t="shared" si="3"/>
        <v>96.78</v>
      </c>
      <c r="H46">
        <f t="shared" si="2"/>
        <v>442.435</v>
      </c>
    </row>
    <row r="47" spans="1:8">
      <c r="A47">
        <v>2065</v>
      </c>
      <c r="B47">
        <f t="shared" si="3"/>
        <v>131.60999999999999</v>
      </c>
      <c r="C47">
        <f t="shared" si="3"/>
        <v>463.6</v>
      </c>
      <c r="D47">
        <f t="shared" si="3"/>
        <v>39.299999999999997</v>
      </c>
      <c r="E47">
        <f t="shared" si="3"/>
        <v>153.58000000000001</v>
      </c>
      <c r="F47">
        <f t="shared" si="3"/>
        <v>96.78</v>
      </c>
      <c r="H47">
        <f t="shared" si="2"/>
        <v>442.435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B2BFC-0ECB-3141-9EA5-B06B472A45A9}">
  <dimension ref="A1:L51"/>
  <sheetViews>
    <sheetView tabSelected="1" zoomScale="92" workbookViewId="0">
      <selection activeCell="Q4" sqref="Q4"/>
    </sheetView>
  </sheetViews>
  <sheetFormatPr baseColWidth="10" defaultColWidth="15.33203125" defaultRowHeight="16"/>
  <sheetData>
    <row r="1" spans="1:12">
      <c r="A1" s="9" t="s">
        <v>12</v>
      </c>
      <c r="B1" s="9" t="s">
        <v>19</v>
      </c>
      <c r="L1" t="s">
        <v>23</v>
      </c>
    </row>
    <row r="2" spans="1:12">
      <c r="A2" s="8" t="s">
        <v>22</v>
      </c>
      <c r="B2" s="8">
        <v>5</v>
      </c>
      <c r="C2" s="8">
        <v>10</v>
      </c>
      <c r="D2" s="8">
        <v>15</v>
      </c>
      <c r="E2" s="8">
        <v>20</v>
      </c>
      <c r="F2" s="8">
        <v>25</v>
      </c>
      <c r="G2" s="8">
        <v>30</v>
      </c>
      <c r="H2" s="8">
        <v>35</v>
      </c>
      <c r="I2" s="8">
        <v>40</v>
      </c>
      <c r="J2" s="8">
        <v>45</v>
      </c>
      <c r="K2" s="8">
        <v>50</v>
      </c>
    </row>
    <row r="3" spans="1:12">
      <c r="A3">
        <v>2026</v>
      </c>
      <c r="B3" s="1">
        <f>Summary_Removals!$H6</f>
        <v>716455.06090464909</v>
      </c>
      <c r="L3" s="6">
        <f>SUM(B3:K3)</f>
        <v>716455.06090464909</v>
      </c>
    </row>
    <row r="4" spans="1:12">
      <c r="A4">
        <v>2027</v>
      </c>
      <c r="B4" s="1">
        <f>Summary_Removals!$H7</f>
        <v>383805.76775259414</v>
      </c>
      <c r="C4" s="1">
        <f>Summary_Removals!$H6</f>
        <v>716455.06090464909</v>
      </c>
      <c r="L4" s="6">
        <f t="shared" ref="L4:L42" si="0">SUM(B4:K4)</f>
        <v>1100260.8286572432</v>
      </c>
    </row>
    <row r="5" spans="1:12">
      <c r="A5">
        <v>2028</v>
      </c>
      <c r="B5" s="1">
        <f>Summary_Removals!$H8</f>
        <v>246234.2647447084</v>
      </c>
      <c r="C5" s="1">
        <f>Summary_Removals!$H7</f>
        <v>383805.76775259414</v>
      </c>
      <c r="D5" s="7">
        <f>Summary_Removals!$H6</f>
        <v>716455.06090464909</v>
      </c>
      <c r="L5" s="6">
        <f t="shared" si="0"/>
        <v>1346495.0934019517</v>
      </c>
    </row>
    <row r="6" spans="1:12">
      <c r="A6">
        <v>2029</v>
      </c>
      <c r="B6" s="1">
        <f>Summary_Removals!$H9</f>
        <v>172243.14626467557</v>
      </c>
      <c r="C6" s="1">
        <f>Summary_Removals!$H8</f>
        <v>246234.2647447084</v>
      </c>
      <c r="D6" s="7">
        <f>Summary_Removals!$H7</f>
        <v>383805.76775259414</v>
      </c>
      <c r="E6" s="7">
        <f>Summary_Removals!$H6</f>
        <v>716455.06090464909</v>
      </c>
      <c r="L6" s="6">
        <f t="shared" si="0"/>
        <v>1518738.2396666273</v>
      </c>
    </row>
    <row r="7" spans="1:12">
      <c r="A7">
        <v>2030</v>
      </c>
      <c r="B7" s="1">
        <f>Summary_Removals!$H10</f>
        <v>131219.23208679614</v>
      </c>
      <c r="C7" s="1">
        <f>Summary_Removals!$H9</f>
        <v>172243.14626467557</v>
      </c>
      <c r="D7" s="7">
        <f>Summary_Removals!$H8</f>
        <v>246234.2647447084</v>
      </c>
      <c r="E7" s="7">
        <f>Summary_Removals!$H7</f>
        <v>383805.76775259414</v>
      </c>
      <c r="F7" s="7">
        <f>Summary_Removals!$H6</f>
        <v>716455.06090464909</v>
      </c>
      <c r="L7" s="6">
        <f t="shared" si="0"/>
        <v>1649957.4717534233</v>
      </c>
    </row>
    <row r="8" spans="1:12">
      <c r="A8">
        <v>2031</v>
      </c>
      <c r="B8" s="1">
        <f>Summary_Removals!$H11</f>
        <v>107509.4898329667</v>
      </c>
      <c r="C8" s="1">
        <f>Summary_Removals!$H10</f>
        <v>131219.23208679614</v>
      </c>
      <c r="D8" s="7">
        <f>Summary_Removals!$H9</f>
        <v>172243.14626467557</v>
      </c>
      <c r="E8" s="7">
        <f>Summary_Removals!$H8</f>
        <v>246234.2647447084</v>
      </c>
      <c r="F8" s="7">
        <f>Summary_Removals!$H7</f>
        <v>383805.76775259414</v>
      </c>
      <c r="G8" s="7">
        <f>Summary_Removals!$H6</f>
        <v>716455.06090464909</v>
      </c>
      <c r="L8" s="6">
        <f t="shared" si="0"/>
        <v>1757466.9615863902</v>
      </c>
    </row>
    <row r="9" spans="1:12">
      <c r="A9">
        <v>2032</v>
      </c>
      <c r="B9" s="1">
        <f>Summary_Removals!$H12</f>
        <v>92995.858158672563</v>
      </c>
      <c r="C9" s="1">
        <f>Summary_Removals!$H11</f>
        <v>107509.4898329667</v>
      </c>
      <c r="D9" s="7">
        <f>Summary_Removals!$H10</f>
        <v>131219.23208679614</v>
      </c>
      <c r="E9" s="7">
        <f>Summary_Removals!$H9</f>
        <v>172243.14626467557</v>
      </c>
      <c r="F9" s="7">
        <f>Summary_Removals!$H8</f>
        <v>246234.2647447084</v>
      </c>
      <c r="G9" s="7">
        <f>Summary_Removals!$H7</f>
        <v>383805.76775259414</v>
      </c>
      <c r="H9" s="7">
        <f>Summary_Removals!$H6</f>
        <v>716455.06090464909</v>
      </c>
      <c r="L9" s="6">
        <f t="shared" si="0"/>
        <v>1850462.8197450626</v>
      </c>
    </row>
    <row r="10" spans="1:12">
      <c r="A10">
        <v>2033</v>
      </c>
      <c r="B10" s="1">
        <f>Summary_Removals!$H13</f>
        <v>83431.293278018929</v>
      </c>
      <c r="C10" s="1">
        <f>Summary_Removals!$H12</f>
        <v>92995.858158672563</v>
      </c>
      <c r="D10" s="7">
        <f>Summary_Removals!$H11</f>
        <v>107509.4898329667</v>
      </c>
      <c r="E10" s="7">
        <f>Summary_Removals!$H10</f>
        <v>131219.23208679614</v>
      </c>
      <c r="F10" s="7">
        <f>Summary_Removals!$H9</f>
        <v>172243.14626467557</v>
      </c>
      <c r="G10" s="7">
        <f>Summary_Removals!$H8</f>
        <v>246234.2647447084</v>
      </c>
      <c r="H10" s="7">
        <f>Summary_Removals!$H7</f>
        <v>383805.76775259414</v>
      </c>
      <c r="I10" s="7">
        <f>Summary_Removals!$H6</f>
        <v>716455.06090464909</v>
      </c>
      <c r="L10" s="6">
        <f t="shared" si="0"/>
        <v>1933894.1130230816</v>
      </c>
    </row>
    <row r="11" spans="1:12">
      <c r="A11">
        <v>2034</v>
      </c>
      <c r="B11" s="1">
        <f>Summary_Removals!$H14</f>
        <v>76580.791956977089</v>
      </c>
      <c r="C11" s="1">
        <f>Summary_Removals!$H13</f>
        <v>83431.293278018929</v>
      </c>
      <c r="D11" s="7">
        <f>Summary_Removals!$H12</f>
        <v>92995.858158672563</v>
      </c>
      <c r="E11" s="7">
        <f>Summary_Removals!$H11</f>
        <v>107509.4898329667</v>
      </c>
      <c r="F11" s="7">
        <f>Summary_Removals!$H10</f>
        <v>131219.23208679614</v>
      </c>
      <c r="G11" s="7">
        <f>Summary_Removals!$H9</f>
        <v>172243.14626467557</v>
      </c>
      <c r="H11" s="7">
        <f>Summary_Removals!$H8</f>
        <v>246234.2647447084</v>
      </c>
      <c r="I11" s="7">
        <f>Summary_Removals!$H7</f>
        <v>383805.76775259414</v>
      </c>
      <c r="J11" s="7">
        <f>Summary_Removals!$H6</f>
        <v>716455.06090464909</v>
      </c>
      <c r="L11" s="6">
        <f t="shared" si="0"/>
        <v>2010474.9049800585</v>
      </c>
    </row>
    <row r="12" spans="1:12">
      <c r="A12">
        <v>2035</v>
      </c>
      <c r="B12" s="1">
        <f>Summary_Removals!$H15</f>
        <v>71262.303765193181</v>
      </c>
      <c r="C12" s="1">
        <f>Summary_Removals!$H14</f>
        <v>76580.791956977089</v>
      </c>
      <c r="D12" s="7">
        <f>Summary_Removals!$H13</f>
        <v>83431.293278018929</v>
      </c>
      <c r="E12" s="7">
        <f>Summary_Removals!$H12</f>
        <v>92995.858158672563</v>
      </c>
      <c r="F12" s="7">
        <f>Summary_Removals!$H11</f>
        <v>107509.4898329667</v>
      </c>
      <c r="G12" s="7">
        <f>Summary_Removals!$H10</f>
        <v>131219.23208679614</v>
      </c>
      <c r="H12" s="7">
        <f>Summary_Removals!$H9</f>
        <v>172243.14626467557</v>
      </c>
      <c r="I12" s="7">
        <f>Summary_Removals!$H8</f>
        <v>246234.2647447084</v>
      </c>
      <c r="J12" s="7">
        <f>Summary_Removals!$H7</f>
        <v>383805.76775259414</v>
      </c>
      <c r="K12" s="7">
        <f>Summary_Removals!$H6</f>
        <v>716455.06090464909</v>
      </c>
      <c r="L12" s="6">
        <f t="shared" si="0"/>
        <v>2081737.2087452519</v>
      </c>
    </row>
    <row r="13" spans="1:12">
      <c r="A13">
        <v>2036</v>
      </c>
      <c r="B13" s="1">
        <f>Summary_Removals!$H16</f>
        <v>66847.083105281883</v>
      </c>
      <c r="C13" s="1">
        <f>Summary_Removals!$H15</f>
        <v>71262.303765193181</v>
      </c>
      <c r="D13" s="7">
        <f>Summary_Removals!$H14</f>
        <v>76580.791956977089</v>
      </c>
      <c r="E13" s="7">
        <f>Summary_Removals!$H13</f>
        <v>83431.293278018929</v>
      </c>
      <c r="F13" s="7">
        <f>Summary_Removals!$H12</f>
        <v>92995.858158672563</v>
      </c>
      <c r="G13" s="7">
        <f>Summary_Removals!$H11</f>
        <v>107509.4898329667</v>
      </c>
      <c r="H13" s="7">
        <f>Summary_Removals!$H10</f>
        <v>131219.23208679614</v>
      </c>
      <c r="I13" s="7">
        <f>Summary_Removals!$H9</f>
        <v>172243.14626467557</v>
      </c>
      <c r="J13" s="7">
        <f>Summary_Removals!$H8</f>
        <v>246234.2647447084</v>
      </c>
      <c r="K13" s="7">
        <f>Summary_Removals!$H7</f>
        <v>383805.76775259414</v>
      </c>
      <c r="L13" s="6">
        <f>SUM(B13:K13)</f>
        <v>1432129.2309458847</v>
      </c>
    </row>
    <row r="14" spans="1:12">
      <c r="A14">
        <v>2037</v>
      </c>
      <c r="B14" s="1">
        <f>Summary_Removals!$H17</f>
        <v>62997.934881515983</v>
      </c>
      <c r="C14" s="1">
        <f>Summary_Removals!$H16</f>
        <v>66847.083105281883</v>
      </c>
      <c r="D14" s="7">
        <f>Summary_Removals!$H15</f>
        <v>71262.303765193181</v>
      </c>
      <c r="E14" s="7">
        <f>Summary_Removals!$H14</f>
        <v>76580.791956977089</v>
      </c>
      <c r="F14" s="7">
        <f>Summary_Removals!$H13</f>
        <v>83431.293278018929</v>
      </c>
      <c r="G14" s="7">
        <f>Summary_Removals!$H12</f>
        <v>92995.858158672563</v>
      </c>
      <c r="H14" s="7">
        <f>Summary_Removals!$H11</f>
        <v>107509.4898329667</v>
      </c>
      <c r="I14" s="7">
        <f>Summary_Removals!$H10</f>
        <v>131219.23208679614</v>
      </c>
      <c r="J14" s="7">
        <f>Summary_Removals!$H9</f>
        <v>172243.14626467557</v>
      </c>
      <c r="K14" s="7">
        <f>Summary_Removals!$H8</f>
        <v>246234.2647447084</v>
      </c>
      <c r="L14" s="6">
        <f t="shared" si="0"/>
        <v>1111321.3980748064</v>
      </c>
    </row>
    <row r="15" spans="1:12">
      <c r="A15">
        <v>2038</v>
      </c>
      <c r="B15" s="1">
        <f>Summary_Removals!$H18</f>
        <v>59531.643186932364</v>
      </c>
      <c r="C15" s="1">
        <f>Summary_Removals!$H17</f>
        <v>62997.934881515983</v>
      </c>
      <c r="D15" s="7">
        <f>Summary_Removals!$H16</f>
        <v>66847.083105281883</v>
      </c>
      <c r="E15" s="7">
        <f>Summary_Removals!$H15</f>
        <v>71262.303765193181</v>
      </c>
      <c r="F15" s="7">
        <f>Summary_Removals!$H14</f>
        <v>76580.791956977089</v>
      </c>
      <c r="G15" s="7">
        <f>Summary_Removals!$H13</f>
        <v>83431.293278018929</v>
      </c>
      <c r="H15" s="7">
        <f>Summary_Removals!$H12</f>
        <v>92995.858158672563</v>
      </c>
      <c r="I15" s="7">
        <f>Summary_Removals!$H11</f>
        <v>107509.4898329667</v>
      </c>
      <c r="J15" s="7">
        <f>Summary_Removals!$H10</f>
        <v>131219.23208679614</v>
      </c>
      <c r="K15" s="7">
        <f>Summary_Removals!$H9</f>
        <v>172243.14626467557</v>
      </c>
      <c r="L15" s="6">
        <f>SUM(B15:K15)</f>
        <v>924618.77651703032</v>
      </c>
    </row>
    <row r="16" spans="1:12">
      <c r="A16">
        <v>2039</v>
      </c>
      <c r="B16" s="1">
        <f>Summary_Removals!$H19</f>
        <v>56346.525646373295</v>
      </c>
      <c r="C16" s="1">
        <f>Summary_Removals!$H18</f>
        <v>59531.643186932364</v>
      </c>
      <c r="D16" s="7">
        <f>Summary_Removals!$H17</f>
        <v>62997.934881515983</v>
      </c>
      <c r="E16" s="7">
        <f>Summary_Removals!$H16</f>
        <v>66847.083105281883</v>
      </c>
      <c r="F16" s="7">
        <f>Summary_Removals!$H15</f>
        <v>71262.303765193181</v>
      </c>
      <c r="G16" s="7">
        <f>Summary_Removals!$H14</f>
        <v>76580.791956977089</v>
      </c>
      <c r="H16" s="7">
        <f>Summary_Removals!$H13</f>
        <v>83431.293278018929</v>
      </c>
      <c r="I16" s="7">
        <f>Summary_Removals!$H12</f>
        <v>92995.858158672563</v>
      </c>
      <c r="J16" s="7">
        <f>Summary_Removals!$H11</f>
        <v>107509.4898329667</v>
      </c>
      <c r="K16" s="7">
        <f>Summary_Removals!$H10</f>
        <v>131219.23208679614</v>
      </c>
      <c r="L16" s="6">
        <f t="shared" si="0"/>
        <v>808722.15589872818</v>
      </c>
    </row>
    <row r="17" spans="1:12">
      <c r="A17">
        <v>2040</v>
      </c>
      <c r="B17" s="1">
        <f>Summary_Removals!$H20</f>
        <v>53384.232447029673</v>
      </c>
      <c r="C17" s="1">
        <f>Summary_Removals!$H19</f>
        <v>56346.525646373295</v>
      </c>
      <c r="D17" s="7">
        <f>Summary_Removals!$H18</f>
        <v>59531.643186932364</v>
      </c>
      <c r="E17" s="7">
        <f>Summary_Removals!$H17</f>
        <v>62997.934881515983</v>
      </c>
      <c r="F17" s="7">
        <f>Summary_Removals!$H16</f>
        <v>66847.083105281883</v>
      </c>
      <c r="G17" s="7">
        <f>Summary_Removals!$H15</f>
        <v>71262.303765193181</v>
      </c>
      <c r="H17" s="7">
        <f>Summary_Removals!$H14</f>
        <v>76580.791956977089</v>
      </c>
      <c r="I17" s="7">
        <f>Summary_Removals!$H13</f>
        <v>83431.293278018929</v>
      </c>
      <c r="J17" s="7">
        <f>Summary_Removals!$H12</f>
        <v>92995.858158672563</v>
      </c>
      <c r="K17" s="7">
        <f>Summary_Removals!$H11</f>
        <v>107509.4898329667</v>
      </c>
      <c r="L17" s="6">
        <f t="shared" si="0"/>
        <v>730887.15625896165</v>
      </c>
    </row>
    <row r="18" spans="1:12">
      <c r="A18">
        <v>2041</v>
      </c>
      <c r="B18" s="1">
        <f>Summary_Removals!$H21</f>
        <v>50609.580083052861</v>
      </c>
      <c r="C18" s="1">
        <f>Summary_Removals!$H20</f>
        <v>53384.232447029673</v>
      </c>
      <c r="D18" s="7">
        <f>Summary_Removals!$H19</f>
        <v>56346.525646373295</v>
      </c>
      <c r="E18" s="7">
        <f>Summary_Removals!$H18</f>
        <v>59531.643186932364</v>
      </c>
      <c r="F18" s="7">
        <f>Summary_Removals!$H17</f>
        <v>62997.934881515983</v>
      </c>
      <c r="G18" s="7">
        <f>Summary_Removals!$H16</f>
        <v>66847.083105281883</v>
      </c>
      <c r="H18" s="7">
        <f>Summary_Removals!$H15</f>
        <v>71262.303765193181</v>
      </c>
      <c r="I18" s="7">
        <f>Summary_Removals!$H14</f>
        <v>76580.791956977089</v>
      </c>
      <c r="J18" s="7">
        <f>Summary_Removals!$H13</f>
        <v>83431.293278018929</v>
      </c>
      <c r="K18" s="7">
        <f>Summary_Removals!$H12</f>
        <v>92995.858158672563</v>
      </c>
      <c r="L18" s="6">
        <f t="shared" si="0"/>
        <v>673987.24650904781</v>
      </c>
    </row>
    <row r="19" spans="1:12">
      <c r="A19">
        <v>2042</v>
      </c>
      <c r="B19" s="1">
        <f>Summary_Removals!$H22</f>
        <v>47999.892143159945</v>
      </c>
      <c r="C19" s="1">
        <f>Summary_Removals!$H21</f>
        <v>50609.580083052861</v>
      </c>
      <c r="D19" s="7">
        <f>Summary_Removals!$H20</f>
        <v>53384.232447029673</v>
      </c>
      <c r="E19" s="7">
        <f>Summary_Removals!$H19</f>
        <v>56346.525646373295</v>
      </c>
      <c r="F19" s="7">
        <f>Summary_Removals!$H18</f>
        <v>59531.643186932364</v>
      </c>
      <c r="G19" s="7">
        <f>Summary_Removals!$H17</f>
        <v>62997.934881515983</v>
      </c>
      <c r="H19" s="7">
        <f>Summary_Removals!$H16</f>
        <v>66847.083105281883</v>
      </c>
      <c r="I19" s="7">
        <f>Summary_Removals!$H15</f>
        <v>71262.303765193181</v>
      </c>
      <c r="J19" s="7">
        <f>Summary_Removals!$H14</f>
        <v>76580.791956977089</v>
      </c>
      <c r="K19" s="7">
        <f>Summary_Removals!$H13</f>
        <v>83431.293278018929</v>
      </c>
      <c r="L19" s="6">
        <f t="shared" si="0"/>
        <v>628991.28049353522</v>
      </c>
    </row>
    <row r="20" spans="1:12">
      <c r="A20">
        <v>2043</v>
      </c>
      <c r="B20" s="1">
        <f>Summary_Removals!$H23</f>
        <v>45539.35518525487</v>
      </c>
      <c r="C20" s="1">
        <f>Summary_Removals!$H22</f>
        <v>47999.892143159945</v>
      </c>
      <c r="D20" s="7">
        <f>Summary_Removals!$H21</f>
        <v>50609.580083052861</v>
      </c>
      <c r="E20" s="7">
        <f>Summary_Removals!$H20</f>
        <v>53384.232447029673</v>
      </c>
      <c r="F20" s="7">
        <f>Summary_Removals!$H19</f>
        <v>56346.525646373295</v>
      </c>
      <c r="G20" s="7">
        <f>Summary_Removals!$H18</f>
        <v>59531.643186932364</v>
      </c>
      <c r="H20" s="7">
        <f>Summary_Removals!$H17</f>
        <v>62997.934881515983</v>
      </c>
      <c r="I20" s="7">
        <f>Summary_Removals!$H16</f>
        <v>66847.083105281883</v>
      </c>
      <c r="J20" s="7">
        <f>Summary_Removals!$H15</f>
        <v>71262.303765193181</v>
      </c>
      <c r="K20" s="7">
        <f>Summary_Removals!$H14</f>
        <v>76580.791956977089</v>
      </c>
      <c r="L20" s="6">
        <f t="shared" si="0"/>
        <v>591099.3424007711</v>
      </c>
    </row>
    <row r="21" spans="1:12">
      <c r="A21">
        <v>2044</v>
      </c>
      <c r="B21" s="1">
        <f>Summary_Removals!$H24</f>
        <v>43216.02171730157</v>
      </c>
      <c r="C21" s="1">
        <f>Summary_Removals!$H23</f>
        <v>45539.35518525487</v>
      </c>
      <c r="D21" s="7">
        <f>Summary_Removals!$H22</f>
        <v>47999.892143159945</v>
      </c>
      <c r="E21" s="7">
        <f>Summary_Removals!$H21</f>
        <v>50609.580083052861</v>
      </c>
      <c r="F21" s="7">
        <f>Summary_Removals!$H20</f>
        <v>53384.232447029673</v>
      </c>
      <c r="G21" s="7">
        <f>Summary_Removals!$H19</f>
        <v>56346.525646373295</v>
      </c>
      <c r="H21" s="7">
        <f>Summary_Removals!$H18</f>
        <v>59531.643186932364</v>
      </c>
      <c r="I21" s="7">
        <f>Summary_Removals!$H17</f>
        <v>62997.934881515983</v>
      </c>
      <c r="J21" s="7">
        <f>Summary_Removals!$H16</f>
        <v>66847.083105281883</v>
      </c>
      <c r="K21" s="7">
        <f>Summary_Removals!$H15</f>
        <v>71262.303765193181</v>
      </c>
      <c r="L21" s="6">
        <f t="shared" si="0"/>
        <v>557734.57216109557</v>
      </c>
    </row>
    <row r="22" spans="1:12">
      <c r="A22">
        <v>2045</v>
      </c>
      <c r="B22" s="1">
        <f>Summary_Removals!$H25</f>
        <v>41020.21134229545</v>
      </c>
      <c r="C22" s="1">
        <f>Summary_Removals!$H24</f>
        <v>43216.02171730157</v>
      </c>
      <c r="D22" s="7">
        <f>Summary_Removals!$H23</f>
        <v>45539.35518525487</v>
      </c>
      <c r="E22" s="7">
        <f>Summary_Removals!$H22</f>
        <v>47999.892143159945</v>
      </c>
      <c r="F22" s="7">
        <f>Summary_Removals!$H21</f>
        <v>50609.580083052861</v>
      </c>
      <c r="G22" s="7">
        <f>Summary_Removals!$H20</f>
        <v>53384.232447029673</v>
      </c>
      <c r="H22" s="7">
        <f>Summary_Removals!$H19</f>
        <v>56346.525646373295</v>
      </c>
      <c r="I22" s="7">
        <f>Summary_Removals!$H18</f>
        <v>59531.643186932364</v>
      </c>
      <c r="J22" s="7">
        <f>Summary_Removals!$H17</f>
        <v>62997.934881515983</v>
      </c>
      <c r="K22" s="7">
        <f>Summary_Removals!$H16</f>
        <v>66847.083105281883</v>
      </c>
      <c r="L22" s="6">
        <f t="shared" si="0"/>
        <v>527492.47973819787</v>
      </c>
    </row>
    <row r="23" spans="1:12">
      <c r="A23">
        <v>2046</v>
      </c>
      <c r="B23" s="1">
        <f>Summary_Removals!$H26</f>
        <v>38943.651085778627</v>
      </c>
      <c r="C23" s="1">
        <f>Summary_Removals!$H25</f>
        <v>41020.21134229545</v>
      </c>
      <c r="D23" s="7">
        <f>Summary_Removals!$H24</f>
        <v>43216.02171730157</v>
      </c>
      <c r="E23" s="7">
        <f>Summary_Removals!$H23</f>
        <v>45539.35518525487</v>
      </c>
      <c r="F23" s="7">
        <f>Summary_Removals!$H22</f>
        <v>47999.892143159945</v>
      </c>
      <c r="G23" s="7">
        <f>Summary_Removals!$H21</f>
        <v>50609.580083052861</v>
      </c>
      <c r="H23" s="7">
        <f>Summary_Removals!$H20</f>
        <v>53384.232447029673</v>
      </c>
      <c r="I23" s="7">
        <f>Summary_Removals!$H19</f>
        <v>56346.525646373295</v>
      </c>
      <c r="J23" s="7">
        <f>Summary_Removals!$H18</f>
        <v>59531.643186932364</v>
      </c>
      <c r="K23" s="7">
        <f>Summary_Removals!$H17</f>
        <v>62997.934881515983</v>
      </c>
      <c r="L23" s="6">
        <f t="shared" si="0"/>
        <v>499589.04771869461</v>
      </c>
    </row>
    <row r="24" spans="1:12">
      <c r="A24">
        <v>2047</v>
      </c>
      <c r="B24" s="1">
        <f>Summary_Removals!$H27</f>
        <v>36979.00708357952</v>
      </c>
      <c r="C24" s="1">
        <f>Summary_Removals!$H26</f>
        <v>38943.651085778627</v>
      </c>
      <c r="D24" s="7">
        <f>Summary_Removals!$H25</f>
        <v>41020.21134229545</v>
      </c>
      <c r="E24" s="7">
        <f>Summary_Removals!$H24</f>
        <v>43216.02171730157</v>
      </c>
      <c r="F24" s="7">
        <f>Summary_Removals!$H23</f>
        <v>45539.35518525487</v>
      </c>
      <c r="G24" s="7">
        <f>Summary_Removals!$H22</f>
        <v>47999.892143159945</v>
      </c>
      <c r="H24" s="7">
        <f>Summary_Removals!$H21</f>
        <v>50609.580083052861</v>
      </c>
      <c r="I24" s="7">
        <f>Summary_Removals!$H20</f>
        <v>53384.232447029673</v>
      </c>
      <c r="J24" s="7">
        <f>Summary_Removals!$H19</f>
        <v>56346.525646373295</v>
      </c>
      <c r="K24" s="7">
        <f>Summary_Removals!$H18</f>
        <v>59531.643186932364</v>
      </c>
      <c r="L24" s="6">
        <f t="shared" si="0"/>
        <v>473570.11992075818</v>
      </c>
    </row>
    <row r="25" spans="1:12">
      <c r="A25">
        <v>2048</v>
      </c>
      <c r="B25" s="1">
        <f>Summary_Removals!$H28</f>
        <v>35119.623968787288</v>
      </c>
      <c r="C25" s="1">
        <f>Summary_Removals!$H27</f>
        <v>36979.00708357952</v>
      </c>
      <c r="D25" s="7">
        <f>Summary_Removals!$H26</f>
        <v>38943.651085778627</v>
      </c>
      <c r="E25" s="7">
        <f>Summary_Removals!$H25</f>
        <v>41020.21134229545</v>
      </c>
      <c r="F25" s="7">
        <f>Summary_Removals!$H24</f>
        <v>43216.02171730157</v>
      </c>
      <c r="G25" s="7">
        <f>Summary_Removals!$H23</f>
        <v>45539.35518525487</v>
      </c>
      <c r="H25" s="7">
        <f>Summary_Removals!$H22</f>
        <v>47999.892143159945</v>
      </c>
      <c r="I25" s="7">
        <f>Summary_Removals!$H21</f>
        <v>50609.580083052861</v>
      </c>
      <c r="J25" s="7">
        <f>Summary_Removals!$H20</f>
        <v>53384.232447029673</v>
      </c>
      <c r="K25" s="7">
        <f>Summary_Removals!$H19</f>
        <v>56346.525646373295</v>
      </c>
      <c r="L25" s="6">
        <f t="shared" si="0"/>
        <v>449158.10070261307</v>
      </c>
    </row>
    <row r="26" spans="1:12">
      <c r="A26">
        <v>2049</v>
      </c>
      <c r="B26" s="1">
        <f>Summary_Removals!$H29</f>
        <v>33359.374926236385</v>
      </c>
      <c r="C26" s="1">
        <f>Summary_Removals!$H28</f>
        <v>35119.623968787288</v>
      </c>
      <c r="D26" s="7">
        <f>Summary_Removals!$H27</f>
        <v>36979.00708357952</v>
      </c>
      <c r="E26" s="7">
        <f>Summary_Removals!$H26</f>
        <v>38943.651085778627</v>
      </c>
      <c r="F26" s="7">
        <f>Summary_Removals!$H25</f>
        <v>41020.21134229545</v>
      </c>
      <c r="G26" s="7">
        <f>Summary_Removals!$H24</f>
        <v>43216.02171730157</v>
      </c>
      <c r="H26" s="7">
        <f>Summary_Removals!$H23</f>
        <v>45539.35518525487</v>
      </c>
      <c r="I26" s="7">
        <f>Summary_Removals!$H22</f>
        <v>47999.892143159945</v>
      </c>
      <c r="J26" s="7">
        <f>Summary_Removals!$H21</f>
        <v>50609.580083052861</v>
      </c>
      <c r="K26" s="7">
        <f>Summary_Removals!$H20</f>
        <v>53384.232447029673</v>
      </c>
      <c r="L26" s="6">
        <f t="shared" si="0"/>
        <v>426170.94998247619</v>
      </c>
    </row>
    <row r="27" spans="1:12">
      <c r="A27">
        <v>2050</v>
      </c>
      <c r="B27" s="1">
        <f>Summary_Removals!$H30</f>
        <v>31692.571108202519</v>
      </c>
      <c r="C27" s="1">
        <f>Summary_Removals!$H29</f>
        <v>33359.374926236385</v>
      </c>
      <c r="D27" s="7">
        <f>Summary_Removals!$H28</f>
        <v>35119.623968787288</v>
      </c>
      <c r="E27" s="7">
        <f>Summary_Removals!$H27</f>
        <v>36979.00708357952</v>
      </c>
      <c r="F27" s="7">
        <f>Summary_Removals!$H26</f>
        <v>38943.651085778627</v>
      </c>
      <c r="G27" s="7">
        <f>Summary_Removals!$H25</f>
        <v>41020.21134229545</v>
      </c>
      <c r="H27" s="7">
        <f>Summary_Removals!$H24</f>
        <v>43216.02171730157</v>
      </c>
      <c r="I27" s="7">
        <f>Summary_Removals!$H23</f>
        <v>45539.35518525487</v>
      </c>
      <c r="J27" s="7">
        <f>Summary_Removals!$H22</f>
        <v>47999.892143159945</v>
      </c>
      <c r="K27" s="7">
        <f>Summary_Removals!$H21</f>
        <v>50609.580083052861</v>
      </c>
      <c r="L27" s="6">
        <f t="shared" si="0"/>
        <v>404479.28864364902</v>
      </c>
    </row>
    <row r="28" spans="1:12">
      <c r="A28">
        <v>2051</v>
      </c>
      <c r="B28" s="1">
        <f>Summary_Removals!$H31</f>
        <v>30113.903246855327</v>
      </c>
      <c r="C28" s="1">
        <f>Summary_Removals!$H30</f>
        <v>31692.571108202519</v>
      </c>
      <c r="D28" s="7">
        <f>Summary_Removals!$H29</f>
        <v>33359.374926236385</v>
      </c>
      <c r="E28" s="7">
        <f>Summary_Removals!$H28</f>
        <v>35119.623968787288</v>
      </c>
      <c r="F28" s="7">
        <f>Summary_Removals!$H27</f>
        <v>36979.00708357952</v>
      </c>
      <c r="G28" s="7">
        <f>Summary_Removals!$H26</f>
        <v>38943.651085778627</v>
      </c>
      <c r="H28" s="7">
        <f>Summary_Removals!$H25</f>
        <v>41020.21134229545</v>
      </c>
      <c r="I28" s="7">
        <f>Summary_Removals!$H24</f>
        <v>43216.02171730157</v>
      </c>
      <c r="J28" s="7">
        <f>Summary_Removals!$H23</f>
        <v>45539.35518525487</v>
      </c>
      <c r="K28" s="7">
        <f>Summary_Removals!$H22</f>
        <v>47999.892143159945</v>
      </c>
      <c r="L28" s="6">
        <f t="shared" si="0"/>
        <v>383983.61180745147</v>
      </c>
    </row>
    <row r="29" spans="1:12">
      <c r="A29">
        <v>2052</v>
      </c>
      <c r="B29" s="1">
        <f>Summary_Removals!$H32</f>
        <v>28618.401049714437</v>
      </c>
      <c r="C29" s="1">
        <f>Summary_Removals!$H31</f>
        <v>30113.903246855327</v>
      </c>
      <c r="D29" s="7">
        <f>Summary_Removals!$H30</f>
        <v>31692.571108202519</v>
      </c>
      <c r="E29" s="7">
        <f>Summary_Removals!$H29</f>
        <v>33359.374926236385</v>
      </c>
      <c r="F29" s="7">
        <f>Summary_Removals!$H28</f>
        <v>35119.623968787288</v>
      </c>
      <c r="G29" s="7">
        <f>Summary_Removals!$H27</f>
        <v>36979.00708357952</v>
      </c>
      <c r="H29" s="7">
        <f>Summary_Removals!$H26</f>
        <v>38943.651085778627</v>
      </c>
      <c r="I29" s="7">
        <f>Summary_Removals!$H25</f>
        <v>41020.21134229545</v>
      </c>
      <c r="J29" s="7">
        <f>Summary_Removals!$H24</f>
        <v>43216.02171730157</v>
      </c>
      <c r="K29" s="7">
        <f>Summary_Removals!$H23</f>
        <v>45539.35518525487</v>
      </c>
      <c r="L29" s="6">
        <f t="shared" si="0"/>
        <v>364602.12071400601</v>
      </c>
    </row>
    <row r="30" spans="1:12">
      <c r="A30">
        <v>2053</v>
      </c>
      <c r="B30" s="1">
        <f>Summary_Removals!$H33</f>
        <v>27201.402702210136</v>
      </c>
      <c r="C30" s="1">
        <f>Summary_Removals!$H32</f>
        <v>28618.401049714437</v>
      </c>
      <c r="D30" s="7">
        <f>Summary_Removals!$H31</f>
        <v>30113.903246855327</v>
      </c>
      <c r="E30" s="7">
        <f>Summary_Removals!$H30</f>
        <v>31692.571108202519</v>
      </c>
      <c r="F30" s="7">
        <f>Summary_Removals!$H29</f>
        <v>33359.374926236385</v>
      </c>
      <c r="G30" s="7">
        <f>Summary_Removals!$H28</f>
        <v>35119.623968787288</v>
      </c>
      <c r="H30" s="7">
        <f>Summary_Removals!$H27</f>
        <v>36979.00708357952</v>
      </c>
      <c r="I30" s="7">
        <f>Summary_Removals!$H26</f>
        <v>38943.651085778627</v>
      </c>
      <c r="J30" s="7">
        <f>Summary_Removals!$H25</f>
        <v>41020.21134229545</v>
      </c>
      <c r="K30" s="7">
        <f>Summary_Removals!$H24</f>
        <v>43216.02171730157</v>
      </c>
      <c r="L30" s="6">
        <f t="shared" si="0"/>
        <v>346264.16823096125</v>
      </c>
    </row>
    <row r="31" spans="1:12">
      <c r="A31">
        <v>2054</v>
      </c>
      <c r="B31" s="1">
        <f>Summary_Removals!$H34</f>
        <v>25858.53036485178</v>
      </c>
      <c r="C31" s="1">
        <f>Summary_Removals!$H33</f>
        <v>27201.402702210136</v>
      </c>
      <c r="D31" s="7">
        <f>Summary_Removals!$H32</f>
        <v>28618.401049714437</v>
      </c>
      <c r="E31" s="7">
        <f>Summary_Removals!$H31</f>
        <v>30113.903246855327</v>
      </c>
      <c r="F31" s="7">
        <f>Summary_Removals!$H30</f>
        <v>31692.571108202519</v>
      </c>
      <c r="G31" s="7">
        <f>Summary_Removals!$H29</f>
        <v>33359.374926236385</v>
      </c>
      <c r="H31" s="7">
        <f>Summary_Removals!$H28</f>
        <v>35119.623968787288</v>
      </c>
      <c r="I31" s="7">
        <f>Summary_Removals!$H27</f>
        <v>36979.00708357952</v>
      </c>
      <c r="J31" s="7">
        <f>Summary_Removals!$H26</f>
        <v>38943.651085778627</v>
      </c>
      <c r="K31" s="7">
        <f>Summary_Removals!$H25</f>
        <v>41020.21134229545</v>
      </c>
      <c r="L31" s="6">
        <f t="shared" si="0"/>
        <v>328906.67687851144</v>
      </c>
    </row>
    <row r="32" spans="1:12">
      <c r="A32">
        <v>2055</v>
      </c>
      <c r="B32" s="1">
        <f>Summary_Removals!$H35</f>
        <v>24585.669439431484</v>
      </c>
      <c r="C32" s="1">
        <f>Summary_Removals!$H34</f>
        <v>25858.53036485178</v>
      </c>
      <c r="D32" s="7">
        <f>Summary_Removals!$H33</f>
        <v>27201.402702210136</v>
      </c>
      <c r="E32" s="7">
        <f>Summary_Removals!$H32</f>
        <v>28618.401049714437</v>
      </c>
      <c r="F32" s="7">
        <f>Summary_Removals!$H31</f>
        <v>30113.903246855327</v>
      </c>
      <c r="G32" s="7">
        <f>Summary_Removals!$H30</f>
        <v>31692.571108202519</v>
      </c>
      <c r="H32" s="7">
        <f>Summary_Removals!$H29</f>
        <v>33359.374926236385</v>
      </c>
      <c r="I32" s="7">
        <f>Summary_Removals!$H28</f>
        <v>35119.623968787288</v>
      </c>
      <c r="J32" s="7">
        <f>Summary_Removals!$H27</f>
        <v>36979.00708357952</v>
      </c>
      <c r="K32" s="7">
        <f>Summary_Removals!$H26</f>
        <v>38943.651085778627</v>
      </c>
      <c r="L32" s="6">
        <f t="shared" si="0"/>
        <v>312472.13497564744</v>
      </c>
    </row>
    <row r="33" spans="1:12">
      <c r="A33">
        <v>2056</v>
      </c>
      <c r="B33" s="1">
        <f>Summary_Removals!$H36</f>
        <v>23378.950380107184</v>
      </c>
      <c r="C33" s="1">
        <f>Summary_Removals!$H35</f>
        <v>24585.669439431484</v>
      </c>
      <c r="D33" s="7">
        <f>Summary_Removals!$H34</f>
        <v>25858.53036485178</v>
      </c>
      <c r="E33" s="7">
        <f>Summary_Removals!$H33</f>
        <v>27201.402702210136</v>
      </c>
      <c r="F33" s="7">
        <f>Summary_Removals!$H32</f>
        <v>28618.401049714437</v>
      </c>
      <c r="G33" s="7">
        <f>Summary_Removals!$H31</f>
        <v>30113.903246855327</v>
      </c>
      <c r="H33" s="7">
        <f>Summary_Removals!$H30</f>
        <v>31692.571108202519</v>
      </c>
      <c r="I33" s="7">
        <f>Summary_Removals!$H29</f>
        <v>33359.374926236385</v>
      </c>
      <c r="J33" s="7">
        <f>Summary_Removals!$H28</f>
        <v>35119.623968787288</v>
      </c>
      <c r="K33" s="7">
        <f>Summary_Removals!$H27</f>
        <v>36979.00708357952</v>
      </c>
      <c r="L33" s="6">
        <f t="shared" si="0"/>
        <v>296907.43426997605</v>
      </c>
    </row>
    <row r="34" spans="1:12">
      <c r="A34">
        <v>2057</v>
      </c>
      <c r="B34" s="1">
        <f>Summary_Removals!$H37</f>
        <v>22234.732358414221</v>
      </c>
      <c r="C34" s="1">
        <f>Summary_Removals!$H36</f>
        <v>23378.950380107184</v>
      </c>
      <c r="D34" s="7">
        <f>Summary_Removals!$H35</f>
        <v>24585.669439431484</v>
      </c>
      <c r="E34" s="7">
        <f>Summary_Removals!$H34</f>
        <v>25858.53036485178</v>
      </c>
      <c r="F34" s="7">
        <f>Summary_Removals!$H33</f>
        <v>27201.402702210136</v>
      </c>
      <c r="G34" s="7">
        <f>Summary_Removals!$H32</f>
        <v>28618.401049714437</v>
      </c>
      <c r="H34" s="7">
        <f>Summary_Removals!$H31</f>
        <v>30113.903246855327</v>
      </c>
      <c r="I34" s="7">
        <f>Summary_Removals!$H30</f>
        <v>31692.571108202519</v>
      </c>
      <c r="J34" s="7">
        <f>Summary_Removals!$H29</f>
        <v>33359.374926236385</v>
      </c>
      <c r="K34" s="7">
        <f>Summary_Removals!$H28</f>
        <v>35119.623968787288</v>
      </c>
      <c r="L34" s="6">
        <f t="shared" si="0"/>
        <v>282163.15954481077</v>
      </c>
    </row>
    <row r="35" spans="1:12">
      <c r="A35">
        <v>2058</v>
      </c>
      <c r="B35" s="1">
        <f>Summary_Removals!$H38</f>
        <v>21149.588376887736</v>
      </c>
      <c r="C35" s="1">
        <f>Summary_Removals!$H37</f>
        <v>22234.732358414221</v>
      </c>
      <c r="D35" s="7">
        <f>Summary_Removals!$H36</f>
        <v>23378.950380107184</v>
      </c>
      <c r="E35" s="7">
        <f>Summary_Removals!$H35</f>
        <v>24585.669439431484</v>
      </c>
      <c r="F35" s="7">
        <f>Summary_Removals!$H34</f>
        <v>25858.53036485178</v>
      </c>
      <c r="G35" s="7">
        <f>Summary_Removals!$H33</f>
        <v>27201.402702210136</v>
      </c>
      <c r="H35" s="7">
        <f>Summary_Removals!$H32</f>
        <v>28618.401049714437</v>
      </c>
      <c r="I35" s="7">
        <f>Summary_Removals!$H31</f>
        <v>30113.903246855327</v>
      </c>
      <c r="J35" s="7">
        <f>Summary_Removals!$H30</f>
        <v>31692.571108202519</v>
      </c>
      <c r="K35" s="7">
        <f>Summary_Removals!$H29</f>
        <v>33359.374926236385</v>
      </c>
      <c r="L35" s="6">
        <f t="shared" si="0"/>
        <v>268193.12395291124</v>
      </c>
    </row>
    <row r="36" spans="1:12">
      <c r="A36">
        <v>2059</v>
      </c>
      <c r="B36" s="1">
        <f>Summary_Removals!$H39</f>
        <v>20120.291580568559</v>
      </c>
      <c r="C36" s="1">
        <f>Summary_Removals!$H38</f>
        <v>21149.588376887736</v>
      </c>
      <c r="D36" s="7">
        <f>Summary_Removals!$H37</f>
        <v>22234.732358414221</v>
      </c>
      <c r="E36" s="7">
        <f>Summary_Removals!$H36</f>
        <v>23378.950380107184</v>
      </c>
      <c r="F36" s="7">
        <f>Summary_Removals!$H35</f>
        <v>24585.669439431484</v>
      </c>
      <c r="G36" s="7">
        <f>Summary_Removals!$H34</f>
        <v>25858.53036485178</v>
      </c>
      <c r="H36" s="7">
        <f>Summary_Removals!$H33</f>
        <v>27201.402702210136</v>
      </c>
      <c r="I36" s="7">
        <f>Summary_Removals!$H32</f>
        <v>28618.401049714437</v>
      </c>
      <c r="J36" s="7">
        <f>Summary_Removals!$H31</f>
        <v>30113.903246855327</v>
      </c>
      <c r="K36" s="7">
        <f>Summary_Removals!$H30</f>
        <v>31692.571108202519</v>
      </c>
      <c r="L36" s="6">
        <f t="shared" si="0"/>
        <v>254954.04060724337</v>
      </c>
    </row>
    <row r="37" spans="1:12">
      <c r="A37">
        <v>2060</v>
      </c>
      <c r="B37" s="1">
        <f>Summary_Removals!$H40</f>
        <v>19143.802600336494</v>
      </c>
      <c r="C37" s="1">
        <f>Summary_Removals!$H39</f>
        <v>20120.291580568559</v>
      </c>
      <c r="D37" s="7">
        <f>Summary_Removals!$H38</f>
        <v>21149.588376887736</v>
      </c>
      <c r="E37" s="7">
        <f>Summary_Removals!$H37</f>
        <v>22234.732358414221</v>
      </c>
      <c r="F37" s="7">
        <f>Summary_Removals!$H36</f>
        <v>23378.950380107184</v>
      </c>
      <c r="G37" s="7">
        <f>Summary_Removals!$H35</f>
        <v>24585.669439431484</v>
      </c>
      <c r="H37" s="7">
        <f>Summary_Removals!$H34</f>
        <v>25858.53036485178</v>
      </c>
      <c r="I37" s="7">
        <f>Summary_Removals!$H33</f>
        <v>27201.402702210136</v>
      </c>
      <c r="J37" s="7">
        <f>Summary_Removals!$H32</f>
        <v>28618.401049714437</v>
      </c>
      <c r="K37" s="7">
        <f>Summary_Removals!$H31</f>
        <v>30113.903246855327</v>
      </c>
      <c r="L37" s="6">
        <f t="shared" si="0"/>
        <v>242405.27209937741</v>
      </c>
    </row>
    <row r="38" spans="1:12">
      <c r="A38">
        <v>2061</v>
      </c>
      <c r="B38" s="1">
        <f>Summary_Removals!$H41</f>
        <v>18217.25780993624</v>
      </c>
      <c r="C38" s="1">
        <f>Summary_Removals!$H40</f>
        <v>19143.802600336494</v>
      </c>
      <c r="D38" s="7">
        <f>Summary_Removals!$H39</f>
        <v>20120.291580568559</v>
      </c>
      <c r="E38" s="7">
        <f>Summary_Removals!$H38</f>
        <v>21149.588376887736</v>
      </c>
      <c r="F38" s="7">
        <f>Summary_Removals!$H37</f>
        <v>22234.732358414221</v>
      </c>
      <c r="G38" s="7">
        <f>Summary_Removals!$H36</f>
        <v>23378.950380107184</v>
      </c>
      <c r="H38" s="7">
        <f>Summary_Removals!$H35</f>
        <v>24585.669439431484</v>
      </c>
      <c r="I38" s="7">
        <f>Summary_Removals!$H34</f>
        <v>25858.53036485178</v>
      </c>
      <c r="J38" s="7">
        <f>Summary_Removals!$H33</f>
        <v>27201.402702210136</v>
      </c>
      <c r="K38" s="7">
        <f>Summary_Removals!$H32</f>
        <v>28618.401049714437</v>
      </c>
      <c r="L38" s="6">
        <f t="shared" si="0"/>
        <v>230508.62666245832</v>
      </c>
    </row>
    <row r="39" spans="1:12">
      <c r="A39">
        <v>2062</v>
      </c>
      <c r="B39" s="1">
        <f>Summary_Removals!$H42</f>
        <v>17337.958406313352</v>
      </c>
      <c r="C39" s="1">
        <f>Summary_Removals!$H41</f>
        <v>18217.25780993624</v>
      </c>
      <c r="D39" s="7">
        <f>Summary_Removals!$H40</f>
        <v>19143.802600336494</v>
      </c>
      <c r="E39" s="7">
        <f>Summary_Removals!$H39</f>
        <v>20120.291580568559</v>
      </c>
      <c r="F39" s="7">
        <f>Summary_Removals!$H38</f>
        <v>21149.588376887736</v>
      </c>
      <c r="G39" s="7">
        <f>Summary_Removals!$H37</f>
        <v>22234.732358414221</v>
      </c>
      <c r="H39" s="7">
        <f>Summary_Removals!$H36</f>
        <v>23378.950380107184</v>
      </c>
      <c r="I39" s="7">
        <f>Summary_Removals!$H35</f>
        <v>24585.669439431484</v>
      </c>
      <c r="J39" s="7">
        <f>Summary_Removals!$H34</f>
        <v>25858.53036485178</v>
      </c>
      <c r="K39" s="7">
        <f>Summary_Removals!$H33</f>
        <v>27201.402702210136</v>
      </c>
      <c r="L39" s="6">
        <f t="shared" si="0"/>
        <v>219228.1840190572</v>
      </c>
    </row>
    <row r="40" spans="1:12">
      <c r="A40">
        <v>2063</v>
      </c>
      <c r="B40" s="1">
        <f>Summary_Removals!$H43</f>
        <v>16503.360240031056</v>
      </c>
      <c r="C40" s="1">
        <f>Summary_Removals!$H42</f>
        <v>17337.958406313352</v>
      </c>
      <c r="D40" s="7">
        <f>Summary_Removals!$H41</f>
        <v>18217.25780993624</v>
      </c>
      <c r="E40" s="7">
        <f>Summary_Removals!$H40</f>
        <v>19143.802600336494</v>
      </c>
      <c r="F40" s="7">
        <f>Summary_Removals!$H39</f>
        <v>20120.291580568559</v>
      </c>
      <c r="G40" s="7">
        <f>Summary_Removals!$H38</f>
        <v>21149.588376887736</v>
      </c>
      <c r="H40" s="7">
        <f>Summary_Removals!$H37</f>
        <v>22234.732358414221</v>
      </c>
      <c r="I40" s="7">
        <f>Summary_Removals!$H36</f>
        <v>23378.950380107184</v>
      </c>
      <c r="J40" s="7">
        <f>Summary_Removals!$H35</f>
        <v>24585.669439431484</v>
      </c>
      <c r="K40" s="7">
        <f>Summary_Removals!$H34</f>
        <v>25858.53036485178</v>
      </c>
      <c r="L40" s="6">
        <f t="shared" si="0"/>
        <v>208530.14155687811</v>
      </c>
    </row>
    <row r="41" spans="1:12">
      <c r="A41">
        <v>2064</v>
      </c>
      <c r="B41" s="1">
        <f>Summary_Removals!$H44</f>
        <v>15711.0643337696</v>
      </c>
      <c r="C41" s="1">
        <f>Summary_Removals!$H43</f>
        <v>16503.360240031056</v>
      </c>
      <c r="D41" s="7">
        <f>Summary_Removals!$H42</f>
        <v>17337.958406313352</v>
      </c>
      <c r="E41" s="7">
        <f>Summary_Removals!$H41</f>
        <v>18217.25780993624</v>
      </c>
      <c r="F41" s="7">
        <f>Summary_Removals!$H40</f>
        <v>19143.802600336494</v>
      </c>
      <c r="G41" s="7">
        <f>Summary_Removals!$H39</f>
        <v>20120.291580568559</v>
      </c>
      <c r="H41" s="7">
        <f>Summary_Removals!$H38</f>
        <v>21149.588376887736</v>
      </c>
      <c r="I41" s="7">
        <f>Summary_Removals!$H37</f>
        <v>22234.732358414221</v>
      </c>
      <c r="J41" s="7">
        <f>Summary_Removals!$H36</f>
        <v>23378.950380107184</v>
      </c>
      <c r="K41" s="7">
        <f>Summary_Removals!$H35</f>
        <v>24585.669439431484</v>
      </c>
      <c r="L41" s="6">
        <f t="shared" si="0"/>
        <v>198382.67552579593</v>
      </c>
    </row>
    <row r="42" spans="1:12">
      <c r="A42">
        <v>2065</v>
      </c>
      <c r="B42" s="1">
        <f>Summary_Removals!$H45</f>
        <v>14958.80803464601</v>
      </c>
      <c r="C42" s="1">
        <f>Summary_Removals!$H44</f>
        <v>15711.0643337696</v>
      </c>
      <c r="D42" s="7">
        <f>Summary_Removals!$H43</f>
        <v>16503.360240031056</v>
      </c>
      <c r="E42" s="7">
        <f>Summary_Removals!$H42</f>
        <v>17337.958406313352</v>
      </c>
      <c r="F42" s="7">
        <f>Summary_Removals!$H41</f>
        <v>18217.25780993624</v>
      </c>
      <c r="G42" s="7">
        <f>Summary_Removals!$H40</f>
        <v>19143.802600336494</v>
      </c>
      <c r="H42" s="7">
        <f>Summary_Removals!$H39</f>
        <v>20120.291580568559</v>
      </c>
      <c r="I42" s="7">
        <f>Summary_Removals!$H38</f>
        <v>21149.588376887736</v>
      </c>
      <c r="J42" s="7">
        <f>Summary_Removals!$H37</f>
        <v>22234.732358414221</v>
      </c>
      <c r="K42" s="7">
        <f>Summary_Removals!$H36</f>
        <v>23378.950380107184</v>
      </c>
      <c r="L42" s="6">
        <f t="shared" si="0"/>
        <v>188755.81412101045</v>
      </c>
    </row>
    <row r="43" spans="1:12">
      <c r="B43" s="1">
        <f>Summary_Removals!$H46</f>
        <v>0</v>
      </c>
      <c r="C43" s="7"/>
      <c r="D43" s="7"/>
      <c r="E43" s="7"/>
      <c r="F43" s="7"/>
      <c r="G43" s="7"/>
      <c r="H43" s="7"/>
      <c r="I43" s="7"/>
      <c r="J43" s="7"/>
      <c r="K43" s="7"/>
    </row>
    <row r="44" spans="1:12">
      <c r="D44" s="7"/>
      <c r="E44" s="7"/>
      <c r="F44" s="7"/>
      <c r="G44" s="7"/>
      <c r="H44" s="7"/>
      <c r="I44" s="7"/>
      <c r="J44" s="7"/>
      <c r="K44" t="s">
        <v>38</v>
      </c>
      <c r="L44" s="1">
        <f>SUM(B3:K42)</f>
        <v>30332151.033396032</v>
      </c>
    </row>
    <row r="45" spans="1:12">
      <c r="E45" s="7"/>
      <c r="F45" s="7"/>
      <c r="G45" s="7"/>
      <c r="H45" s="7"/>
      <c r="I45" s="7"/>
      <c r="J45" s="7"/>
      <c r="K45" t="s">
        <v>39</v>
      </c>
      <c r="L45" s="1">
        <f>L44/40</f>
        <v>758303.77583490079</v>
      </c>
    </row>
    <row r="46" spans="1:12">
      <c r="F46" s="7"/>
      <c r="G46" s="7"/>
      <c r="H46" s="7"/>
      <c r="I46" s="7"/>
      <c r="J46" s="7"/>
      <c r="K46" s="7"/>
    </row>
    <row r="47" spans="1:12">
      <c r="G47" s="7"/>
      <c r="H47" s="7"/>
      <c r="I47" s="7"/>
      <c r="J47" s="7"/>
      <c r="K47" s="7" t="s">
        <v>36</v>
      </c>
      <c r="L47" s="6">
        <f>SUM(L3:L12)</f>
        <v>15965942.702463739</v>
      </c>
    </row>
    <row r="48" spans="1:12">
      <c r="H48" s="7"/>
      <c r="I48" s="7"/>
      <c r="J48" s="7"/>
      <c r="K48" s="7" t="s">
        <v>37</v>
      </c>
      <c r="L48" s="6">
        <f>L47/10</f>
        <v>1596594.270246374</v>
      </c>
    </row>
    <row r="49" spans="9:11">
      <c r="I49" s="7"/>
      <c r="J49" s="7"/>
      <c r="K49" s="7"/>
    </row>
    <row r="50" spans="9:11">
      <c r="J50" s="7"/>
      <c r="K50" s="7"/>
    </row>
    <row r="51" spans="9:11">
      <c r="K51" s="7"/>
    </row>
  </sheetData>
  <phoneticPr fontId="6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CAE5B-3D09-7B43-B8F9-21D8EE6819FF}">
  <dimension ref="A1:G42"/>
  <sheetViews>
    <sheetView zoomScale="226" workbookViewId="0">
      <selection activeCell="D3" sqref="D3"/>
    </sheetView>
  </sheetViews>
  <sheetFormatPr baseColWidth="10" defaultRowHeight="16"/>
  <cols>
    <col min="1" max="2" width="8.83203125"/>
    <col min="3" max="3" width="11.5" style="1" bestFit="1" customWidth="1"/>
    <col min="4" max="6" width="10.83203125" style="1"/>
    <col min="7" max="7" width="11" style="1" bestFit="1" customWidth="1"/>
    <col min="8" max="16384" width="10.83203125" style="1"/>
  </cols>
  <sheetData>
    <row r="1" spans="1:7">
      <c r="A1" s="10" t="s">
        <v>0</v>
      </c>
      <c r="B1" s="10" t="s">
        <v>1</v>
      </c>
      <c r="C1" s="2" t="s">
        <v>2</v>
      </c>
    </row>
    <row r="2" spans="1:7">
      <c r="G2" s="1" t="s">
        <v>9</v>
      </c>
    </row>
    <row r="3" spans="1:7">
      <c r="A3">
        <v>42.259358988397729</v>
      </c>
      <c r="B3">
        <v>44.770814734802542</v>
      </c>
      <c r="C3" s="1">
        <f t="shared" ref="C3:C42" si="0">A3*0.4*$G$3 + B3*0.6*$G$3</f>
        <v>192002.46169778757</v>
      </c>
      <c r="G3" s="3">
        <v>4387</v>
      </c>
    </row>
    <row r="4" spans="1:7">
      <c r="A4">
        <v>23.944522017685369</v>
      </c>
      <c r="B4">
        <v>25.372370552430692</v>
      </c>
      <c r="C4" s="1">
        <f t="shared" si="0"/>
        <v>108803.00100474234</v>
      </c>
    </row>
    <row r="5" spans="1:7">
      <c r="A5">
        <v>16.347398860219648</v>
      </c>
      <c r="B5">
        <v>17.329658161775711</v>
      </c>
      <c r="C5" s="1">
        <f t="shared" si="0"/>
        <v>74301.541733339458</v>
      </c>
    </row>
    <row r="6" spans="1:7">
      <c r="A6">
        <v>12.233628177895961</v>
      </c>
      <c r="B6">
        <v>12.977554600276219</v>
      </c>
      <c r="C6" s="1">
        <f t="shared" si="0"/>
        <v>55627.089945418891</v>
      </c>
    </row>
    <row r="7" spans="1:7">
      <c r="A7">
        <v>9.9268722356679007</v>
      </c>
      <c r="B7">
        <v>10.53964857157111</v>
      </c>
      <c r="C7" s="1">
        <f t="shared" si="0"/>
        <v>45162.13836923951</v>
      </c>
    </row>
    <row r="8" spans="1:7">
      <c r="A8">
        <v>8.5694688775188013</v>
      </c>
      <c r="B8">
        <v>9.1071265682337472</v>
      </c>
      <c r="C8" s="1">
        <f t="shared" si="0"/>
        <v>39009.48253917486</v>
      </c>
    </row>
    <row r="9" spans="1:7">
      <c r="A9">
        <v>7.7163147803120893</v>
      </c>
      <c r="B9">
        <v>8.2083811763729617</v>
      </c>
      <c r="C9" s="1">
        <f t="shared" si="0"/>
        <v>35146.690108940558</v>
      </c>
    </row>
    <row r="10" spans="1:7">
      <c r="A10">
        <v>7.1344322311052837</v>
      </c>
      <c r="B10">
        <v>7.5965918327002129</v>
      </c>
      <c r="C10" s="1">
        <f t="shared" si="0"/>
        <v>32515.250701177058</v>
      </c>
    </row>
    <row r="11" spans="1:7">
      <c r="A11">
        <v>6.7012019772882967</v>
      </c>
      <c r="B11">
        <v>7.1418748371614713</v>
      </c>
      <c r="C11" s="1">
        <f t="shared" si="0"/>
        <v>30558.112176121926</v>
      </c>
    </row>
    <row r="12" spans="1:7">
      <c r="A12">
        <v>6.3518082575882699</v>
      </c>
      <c r="B12">
        <v>6.775590248080543</v>
      </c>
      <c r="C12" s="1">
        <f t="shared" si="0"/>
        <v>28980.861781413507</v>
      </c>
    </row>
    <row r="13" spans="1:7">
      <c r="A13">
        <v>6.0518309767641369</v>
      </c>
      <c r="B13">
        <v>6.4612996399688516</v>
      </c>
      <c r="C13" s="1">
        <f t="shared" si="0"/>
        <v>27627.18591035172</v>
      </c>
    </row>
    <row r="14" spans="1:7">
      <c r="A14">
        <v>5.7828726171729841</v>
      </c>
      <c r="B14">
        <v>6.1795371611352481</v>
      </c>
      <c r="C14" s="1">
        <f t="shared" si="0"/>
        <v>26413.562584155348</v>
      </c>
    </row>
    <row r="15" spans="1:7">
      <c r="A15">
        <v>5.5349969888197474</v>
      </c>
      <c r="B15">
        <v>5.9197987457806924</v>
      </c>
      <c r="C15" s="1">
        <f t="shared" si="0"/>
        <v>25294.906974624835</v>
      </c>
    </row>
    <row r="16" spans="1:7">
      <c r="A16">
        <v>5.3027442366678006</v>
      </c>
      <c r="B16">
        <v>5.6763205856535039</v>
      </c>
      <c r="C16" s="1">
        <f t="shared" si="0"/>
        <v>24246.466632061813</v>
      </c>
    </row>
    <row r="17" spans="1:3">
      <c r="A17">
        <v>5.0830282792815824</v>
      </c>
      <c r="B17">
        <v>5.4458519788359938</v>
      </c>
      <c r="C17" s="1">
        <f t="shared" si="0"/>
        <v>23254.269603175424</v>
      </c>
    </row>
    <row r="18" spans="1:3">
      <c r="A18">
        <v>4.8740265590007299</v>
      </c>
      <c r="B18">
        <v>5.2264794099953056</v>
      </c>
      <c r="C18" s="1">
        <f t="shared" si="0"/>
        <v>22310.080908724121</v>
      </c>
    </row>
    <row r="19" spans="1:3">
      <c r="A19">
        <v>4.6745933315641919</v>
      </c>
      <c r="B19">
        <v>5.0170052076378582</v>
      </c>
      <c r="C19" s="1">
        <f t="shared" si="0"/>
        <v>21408.737485773214</v>
      </c>
    </row>
    <row r="20" spans="1:3">
      <c r="A20">
        <v>4.4839493212220134</v>
      </c>
      <c r="B20">
        <v>4.8166189253616407</v>
      </c>
      <c r="C20" s="1">
        <f t="shared" si="0"/>
        <v>20546.738604217302</v>
      </c>
    </row>
    <row r="21" spans="1:3">
      <c r="A21">
        <v>4.3015173202720396</v>
      </c>
      <c r="B21">
        <v>4.6247232925469914</v>
      </c>
      <c r="C21" s="1">
        <f t="shared" si="0"/>
        <v>19721.499244255567</v>
      </c>
    </row>
    <row r="22" spans="1:3">
      <c r="A22">
        <v>4.1268348875479566</v>
      </c>
      <c r="B22">
        <v>4.4408418129170384</v>
      </c>
      <c r="C22" s="1">
        <f t="shared" si="0"/>
        <v>18930.953680629384</v>
      </c>
    </row>
    <row r="23" spans="1:3">
      <c r="A23">
        <v>3.9595077943800279</v>
      </c>
      <c r="B23">
        <v>4.2645695104654209</v>
      </c>
      <c r="C23" s="1">
        <f t="shared" si="0"/>
        <v>18173.344143025155</v>
      </c>
    </row>
    <row r="24" spans="1:3">
      <c r="A24">
        <v>3.7991850199120849</v>
      </c>
      <c r="B24">
        <v>4.0955464913674584</v>
      </c>
      <c r="C24" s="1">
        <f t="shared" si="0"/>
        <v>17447.107347519152</v>
      </c>
    </row>
    <row r="25" spans="1:3">
      <c r="A25">
        <v>3.645545154790971</v>
      </c>
      <c r="B25">
        <v>3.933443583153962</v>
      </c>
      <c r="C25" s="1">
        <f t="shared" si="0"/>
        <v>16750.812837205052</v>
      </c>
    </row>
    <row r="26" spans="1:3">
      <c r="A26">
        <v>3.4982888552502209</v>
      </c>
      <c r="B26">
        <v>3.7779543778329132</v>
      </c>
      <c r="C26" s="1">
        <f t="shared" si="0"/>
        <v>16083.128796524881</v>
      </c>
    </row>
    <row r="27" spans="1:3">
      <c r="A27">
        <v>3.3571345157749568</v>
      </c>
      <c r="B27">
        <v>3.6287906807512091</v>
      </c>
      <c r="C27" s="1">
        <f t="shared" si="0"/>
        <v>15442.802478155227</v>
      </c>
    </row>
    <row r="28" spans="1:3">
      <c r="A28">
        <v>3.221815662923897</v>
      </c>
      <c r="B28">
        <v>3.485679779931957</v>
      </c>
      <c r="C28" s="1">
        <f t="shared" si="0"/>
        <v>14828.648442035752</v>
      </c>
    </row>
    <row r="29" spans="1:3">
      <c r="A29">
        <v>3.092079277806612</v>
      </c>
      <c r="B29">
        <v>3.3483626969990472</v>
      </c>
      <c r="C29" s="1">
        <f t="shared" si="0"/>
        <v>14239.541007735934</v>
      </c>
    </row>
    <row r="30" spans="1:3">
      <c r="A30">
        <v>2.9676846272219439</v>
      </c>
      <c r="B30">
        <v>3.21659297516827</v>
      </c>
      <c r="C30" s="1">
        <f t="shared" si="0"/>
        <v>13674.409013086988</v>
      </c>
    </row>
    <row r="31" spans="1:3">
      <c r="A31">
        <v>2.8484023803129168</v>
      </c>
      <c r="B31">
        <v>3.090135768182309</v>
      </c>
      <c r="C31" s="1">
        <f t="shared" si="0"/>
        <v>13132.23186598258</v>
      </c>
    </row>
    <row r="32" spans="1:3">
      <c r="A32">
        <v>2.7340138917143708</v>
      </c>
      <c r="B32">
        <v>2.968767104276429</v>
      </c>
      <c r="C32" s="1">
        <f t="shared" si="0"/>
        <v>12612.036349056794</v>
      </c>
    </row>
    <row r="33" spans="1:3">
      <c r="A33">
        <v>2.6243105872329409</v>
      </c>
      <c r="B33">
        <v>2.8522732575446379</v>
      </c>
      <c r="C33" s="1">
        <f t="shared" si="0"/>
        <v>12112.893886985359</v>
      </c>
    </row>
    <row r="34" spans="1:3">
      <c r="A34">
        <v>2.5190934173016588</v>
      </c>
      <c r="B34">
        <v>2.740450189982369</v>
      </c>
      <c r="C34" s="1">
        <f t="shared" si="0"/>
        <v>11633.918118752543</v>
      </c>
    </row>
    <row r="35" spans="1:3">
      <c r="A35">
        <v>2.418172358931602</v>
      </c>
      <c r="B35">
        <v>2.6331030438576541</v>
      </c>
      <c r="C35" s="1">
        <f t="shared" si="0"/>
        <v>11174.262687495293</v>
      </c>
    </row>
    <row r="36" spans="1:3">
      <c r="A36">
        <v>2.3213659551433938</v>
      </c>
      <c r="B36">
        <v>2.530045672806418</v>
      </c>
      <c r="C36" s="1">
        <f t="shared" si="0"/>
        <v>10733.119198046681</v>
      </c>
    </row>
    <row r="37" spans="1:3">
      <c r="A37">
        <v>2.2285008852805319</v>
      </c>
      <c r="B37">
        <v>2.4311002047185091</v>
      </c>
      <c r="C37" s="1">
        <f t="shared" si="0"/>
        <v>10309.715312350338</v>
      </c>
    </row>
    <row r="38" spans="1:3">
      <c r="A38">
        <v>2.139411562008215</v>
      </c>
      <c r="B38">
        <v>2.336096632017771</v>
      </c>
      <c r="C38" s="1">
        <f t="shared" si="0"/>
        <v>9903.3129638091923</v>
      </c>
    </row>
    <row r="39" spans="1:3">
      <c r="A39">
        <v>2.0539397521097889</v>
      </c>
      <c r="B39">
        <v>2.24487242632352</v>
      </c>
      <c r="C39" s="1">
        <f t="shared" si="0"/>
        <v>9513.2066775710264</v>
      </c>
    </row>
    <row r="40" spans="1:3">
      <c r="A40">
        <v>1.971934218946799</v>
      </c>
      <c r="B40">
        <v>2.1572721752798238</v>
      </c>
      <c r="C40" s="1">
        <f t="shared" si="0"/>
        <v>9138.721987179395</v>
      </c>
    </row>
    <row r="41" spans="1:3">
      <c r="A41">
        <v>1.893250384882355</v>
      </c>
      <c r="B41">
        <v>2.0731472397830069</v>
      </c>
      <c r="C41" s="1">
        <f t="shared" si="0"/>
        <v>8779.2139399483858</v>
      </c>
    </row>
    <row r="42" spans="1:3">
      <c r="A42">
        <v>1.8177500122365819</v>
      </c>
      <c r="B42">
        <v>1.9923554301371429</v>
      </c>
      <c r="C42" s="1">
        <f t="shared" si="0"/>
        <v>8434.065684679741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F8AA5-7D0F-844D-A4B9-F3670363D091}">
  <dimension ref="A1:G42"/>
  <sheetViews>
    <sheetView zoomScale="249" workbookViewId="0">
      <selection activeCell="B6" sqref="B6"/>
    </sheetView>
  </sheetViews>
  <sheetFormatPr baseColWidth="10" defaultRowHeight="16"/>
  <cols>
    <col min="1" max="4" width="8.83203125"/>
    <col min="5" max="5" width="11.5" style="1" bestFit="1" customWidth="1"/>
    <col min="6" max="6" width="10.83203125" style="1"/>
    <col min="7" max="7" width="11" style="1" bestFit="1" customWidth="1"/>
    <col min="8" max="16384" width="10.83203125" style="1"/>
  </cols>
  <sheetData>
    <row r="1" spans="1:7">
      <c r="A1" s="10" t="s">
        <v>0</v>
      </c>
      <c r="B1" s="10" t="s">
        <v>3</v>
      </c>
      <c r="C1" s="10" t="s">
        <v>4</v>
      </c>
      <c r="D1" s="10" t="s">
        <v>1</v>
      </c>
      <c r="E1" s="2" t="s">
        <v>2</v>
      </c>
    </row>
    <row r="2" spans="1:7">
      <c r="G2" s="1" t="s">
        <v>9</v>
      </c>
    </row>
    <row r="3" spans="1:7">
      <c r="A3">
        <v>44.704806714029537</v>
      </c>
      <c r="B3">
        <v>44.791530712316792</v>
      </c>
      <c r="C3">
        <v>44.791530712316792</v>
      </c>
      <c r="D3">
        <v>42.698597468436652</v>
      </c>
      <c r="E3" s="1">
        <f>A3*0.2*$G$3 + B3*0.15*$G$3 + C3*0.15*$G$3 + D3*0.4*$G$3</f>
        <v>182926.63684540731</v>
      </c>
      <c r="G3" s="1">
        <v>4636</v>
      </c>
    </row>
    <row r="4" spans="1:7">
      <c r="A4">
        <v>25.334835747354031</v>
      </c>
      <c r="B4">
        <v>25.38415056497151</v>
      </c>
      <c r="C4">
        <v>25.38415056497151</v>
      </c>
      <c r="D4">
        <v>24.194204741074319</v>
      </c>
      <c r="E4" s="1">
        <f t="shared" ref="E4:E42" si="0">A4*0.2*$G$3 + B4*0.15*$G$3 + C4*0.15*$G$3 + D4*0.4*$G$3</f>
        <v>103660.46958255726</v>
      </c>
    </row>
    <row r="5" spans="1:7">
      <c r="A5">
        <v>17.30382605884185</v>
      </c>
      <c r="B5">
        <v>17.337765490692959</v>
      </c>
      <c r="C5">
        <v>17.337765490692959</v>
      </c>
      <c r="D5">
        <v>16.519102150375389</v>
      </c>
      <c r="E5" s="1">
        <f t="shared" si="0"/>
        <v>70790.49479387005</v>
      </c>
    </row>
    <row r="6" spans="1:7">
      <c r="A6">
        <v>12.95797745968212</v>
      </c>
      <c r="B6">
        <v>12.98369897119176</v>
      </c>
      <c r="C6">
        <v>12.98369897119176</v>
      </c>
      <c r="D6">
        <v>12.363597313958611</v>
      </c>
      <c r="E6" s="1">
        <f t="shared" si="0"/>
        <v>52999.420088755607</v>
      </c>
    </row>
    <row r="7" spans="1:7">
      <c r="A7">
        <v>10.523509510024009</v>
      </c>
      <c r="B7">
        <v>10.54471403410378</v>
      </c>
      <c r="C7">
        <v>10.54471403410378</v>
      </c>
      <c r="D7">
        <v>10.03385387578145</v>
      </c>
      <c r="E7" s="1">
        <f t="shared" si="0"/>
        <v>43029.76492357492</v>
      </c>
    </row>
    <row r="8" spans="1:7">
      <c r="A8">
        <v>9.0929533714398616</v>
      </c>
      <c r="B8">
        <v>9.1115751576631965</v>
      </c>
      <c r="C8">
        <v>9.1115751576631965</v>
      </c>
      <c r="D8">
        <v>8.6632651349915957</v>
      </c>
      <c r="E8" s="1">
        <f t="shared" si="0"/>
        <v>37168.523961605431</v>
      </c>
    </row>
    <row r="9" spans="1:7">
      <c r="A9">
        <v>8.1953983177628178</v>
      </c>
      <c r="B9">
        <v>8.2124562783186601</v>
      </c>
      <c r="C9">
        <v>8.2124562783186601</v>
      </c>
      <c r="D9">
        <v>7.8020928489100827</v>
      </c>
      <c r="E9" s="1">
        <f t="shared" si="0"/>
        <v>33488.858491134131</v>
      </c>
    </row>
    <row r="10" spans="1:7">
      <c r="A10">
        <v>7.5843876220499453</v>
      </c>
      <c r="B10">
        <v>7.6004226461760176</v>
      </c>
      <c r="C10">
        <v>7.6004226461760176</v>
      </c>
      <c r="D10">
        <v>7.2149383150228594</v>
      </c>
      <c r="E10" s="1">
        <f t="shared" si="0"/>
        <v>30982.293630844706</v>
      </c>
    </row>
    <row r="11" spans="1:7">
      <c r="A11">
        <v>7.130228492409576</v>
      </c>
      <c r="B11">
        <v>7.1455306467406432</v>
      </c>
      <c r="C11">
        <v>7.1455306467406432</v>
      </c>
      <c r="D11">
        <v>6.777911647968736</v>
      </c>
      <c r="E11" s="1">
        <f t="shared" si="0"/>
        <v>29118.111241642269</v>
      </c>
    </row>
    <row r="12" spans="1:7">
      <c r="A12">
        <v>6.764381467329609</v>
      </c>
      <c r="B12">
        <v>6.7791088039370067</v>
      </c>
      <c r="C12">
        <v>6.7791088039370067</v>
      </c>
      <c r="D12">
        <v>6.4255280894577522</v>
      </c>
      <c r="E12" s="1">
        <f t="shared" si="0"/>
        <v>27615.81831011406</v>
      </c>
    </row>
    <row r="13" spans="1:7">
      <c r="A13">
        <v>6.450461138673063</v>
      </c>
      <c r="B13">
        <v>6.4647020536234034</v>
      </c>
      <c r="C13">
        <v>6.4647020536234034</v>
      </c>
      <c r="D13">
        <v>6.1230143793598906</v>
      </c>
      <c r="E13" s="1">
        <f t="shared" si="0"/>
        <v>26326.493049042077</v>
      </c>
    </row>
    <row r="14" spans="1:7">
      <c r="A14">
        <v>6.1690297060439478</v>
      </c>
      <c r="B14">
        <v>6.1828357407822567</v>
      </c>
      <c r="C14">
        <v>6.1828357407822567</v>
      </c>
      <c r="D14">
        <v>5.8517859978754014</v>
      </c>
      <c r="E14" s="1">
        <f t="shared" si="0"/>
        <v>25170.564246184054</v>
      </c>
    </row>
    <row r="15" spans="1:7">
      <c r="A15">
        <v>5.9095980043422474</v>
      </c>
      <c r="B15">
        <v>5.9230011234445739</v>
      </c>
      <c r="C15">
        <v>5.9230011234445739</v>
      </c>
      <c r="D15">
        <v>5.6018072960795662</v>
      </c>
      <c r="E15" s="1">
        <f t="shared" si="0"/>
        <v>24105.080681962791</v>
      </c>
    </row>
    <row r="16" spans="1:7">
      <c r="A16">
        <v>5.6664101918765182</v>
      </c>
      <c r="B16">
        <v>5.6794318933732768</v>
      </c>
      <c r="C16">
        <v>5.6794318933732768</v>
      </c>
      <c r="D16">
        <v>5.3675651325603537</v>
      </c>
      <c r="E16" s="1">
        <f t="shared" si="0"/>
        <v>23106.462189031379</v>
      </c>
    </row>
    <row r="17" spans="1:5">
      <c r="A17">
        <v>5.4362198732340659</v>
      </c>
      <c r="B17">
        <v>5.4488759973161844</v>
      </c>
      <c r="C17">
        <v>5.4488759973161844</v>
      </c>
      <c r="D17">
        <v>5.1459445193083058</v>
      </c>
      <c r="E17" s="1">
        <f t="shared" si="0"/>
        <v>22161.399320135297</v>
      </c>
    </row>
    <row r="18" spans="1:5">
      <c r="A18">
        <v>5.2171159050978089</v>
      </c>
      <c r="B18">
        <v>5.2294191757094213</v>
      </c>
      <c r="C18">
        <v>5.2294191757094213</v>
      </c>
      <c r="D18">
        <v>4.9351068842357693</v>
      </c>
      <c r="E18" s="1">
        <f t="shared" si="0"/>
        <v>21262.048262910161</v>
      </c>
    </row>
    <row r="19" spans="1:5">
      <c r="A19">
        <v>5.0079019634175497</v>
      </c>
      <c r="B19">
        <v>5.0198633343667156</v>
      </c>
      <c r="C19">
        <v>5.0198633343667156</v>
      </c>
      <c r="D19">
        <v>4.7338973020126121</v>
      </c>
      <c r="E19" s="1">
        <f t="shared" si="0"/>
        <v>20403.491782770168</v>
      </c>
    </row>
    <row r="20" spans="1:5">
      <c r="A20">
        <v>4.8077684047246647</v>
      </c>
      <c r="B20">
        <v>4.8193977750714199</v>
      </c>
      <c r="C20">
        <v>4.8193977750714199</v>
      </c>
      <c r="D20">
        <v>4.5415309519165854</v>
      </c>
      <c r="E20" s="1">
        <f t="shared" si="0"/>
        <v>19582.396287664156</v>
      </c>
    </row>
    <row r="21" spans="1:5">
      <c r="A21">
        <v>4.6161184702643752</v>
      </c>
      <c r="B21">
        <v>4.627425066728641</v>
      </c>
      <c r="C21">
        <v>4.627425066728641</v>
      </c>
      <c r="D21">
        <v>4.3574270289574626</v>
      </c>
      <c r="E21" s="1">
        <f t="shared" si="0"/>
        <v>18796.300510934041</v>
      </c>
    </row>
    <row r="22" spans="1:5">
      <c r="A22">
        <v>4.4324760184870913</v>
      </c>
      <c r="B22">
        <v>4.4434686018939731</v>
      </c>
      <c r="C22">
        <v>4.4434686018939731</v>
      </c>
      <c r="D22">
        <v>4.1811205498029551</v>
      </c>
      <c r="E22" s="1">
        <f t="shared" si="0"/>
        <v>18043.237843409966</v>
      </c>
    </row>
    <row r="23" spans="1:5">
      <c r="A23">
        <v>4.2564363418636972</v>
      </c>
      <c r="B23">
        <v>4.2671233204552008</v>
      </c>
      <c r="C23">
        <v>4.2671233204552008</v>
      </c>
      <c r="D23">
        <v>4.0122153260785538</v>
      </c>
      <c r="E23" s="1">
        <f t="shared" si="0"/>
        <v>17321.534990945183</v>
      </c>
    </row>
    <row r="24" spans="1:5">
      <c r="A24">
        <v>4.0876397664120887</v>
      </c>
      <c r="B24">
        <v>4.0980292597379586</v>
      </c>
      <c r="C24">
        <v>4.0980292597379586</v>
      </c>
      <c r="D24">
        <v>3.8503587086633861</v>
      </c>
      <c r="E24" s="1">
        <f t="shared" si="0"/>
        <v>16629.703875206225</v>
      </c>
    </row>
    <row r="25" spans="1:5">
      <c r="A25">
        <v>3.925757310920754</v>
      </c>
      <c r="B25">
        <v>3.9358571873883998</v>
      </c>
      <c r="C25">
        <v>3.9358571873883998</v>
      </c>
      <c r="D25">
        <v>3.6952278574181232</v>
      </c>
      <c r="E25" s="1">
        <f t="shared" si="0"/>
        <v>15966.382893701679</v>
      </c>
    </row>
    <row r="26" spans="1:5">
      <c r="A26">
        <v>3.770482740835793</v>
      </c>
      <c r="B26">
        <v>3.7803006411165971</v>
      </c>
      <c r="C26">
        <v>3.7803006411165971</v>
      </c>
      <c r="D26">
        <v>3.5465221231881991</v>
      </c>
      <c r="E26" s="1">
        <f t="shared" si="0"/>
        <v>15330.304354208107</v>
      </c>
    </row>
    <row r="27" spans="1:5">
      <c r="A27">
        <v>3.621528022973997</v>
      </c>
      <c r="B27">
        <v>3.6310713757214832</v>
      </c>
      <c r="C27">
        <v>3.6310713757214832</v>
      </c>
      <c r="D27">
        <v>3.4039586811530729</v>
      </c>
      <c r="E27" s="1">
        <f t="shared" si="0"/>
        <v>14720.275830585188</v>
      </c>
    </row>
    <row r="28" spans="1:5">
      <c r="A28">
        <v>3.478620598106029</v>
      </c>
      <c r="B28">
        <v>3.4878966314111608</v>
      </c>
      <c r="C28">
        <v>3.4878966314111608</v>
      </c>
      <c r="D28">
        <v>3.2672699027251451</v>
      </c>
      <c r="E28" s="1">
        <f t="shared" si="0"/>
        <v>14135.168961144062</v>
      </c>
    </row>
    <row r="29" spans="1:5">
      <c r="A29">
        <v>3.3415016337373422</v>
      </c>
      <c r="B29">
        <v>3.3505173841431009</v>
      </c>
      <c r="C29">
        <v>3.3505173841431009</v>
      </c>
      <c r="D29">
        <v>3.1362016653766771</v>
      </c>
      <c r="E29" s="1">
        <f t="shared" si="0"/>
        <v>13573.912260941997</v>
      </c>
    </row>
    <row r="30" spans="1:5">
      <c r="A30">
        <v>3.2099248132126612</v>
      </c>
      <c r="B30">
        <v>3.2186871332685669</v>
      </c>
      <c r="C30">
        <v>3.2186871332685669</v>
      </c>
      <c r="D30">
        <v>3.0105121761075542</v>
      </c>
      <c r="E30" s="1">
        <f t="shared" si="0"/>
        <v>13035.486131134552</v>
      </c>
    </row>
    <row r="31" spans="1:5">
      <c r="A31">
        <v>3.0836554253591211</v>
      </c>
      <c r="B31">
        <v>3.0921709902435501</v>
      </c>
      <c r="C31">
        <v>3.0921709902435501</v>
      </c>
      <c r="D31">
        <v>2.88997108313787</v>
      </c>
      <c r="E31" s="1">
        <f t="shared" si="0"/>
        <v>12518.919100194573</v>
      </c>
    </row>
    <row r="32" spans="1:5">
      <c r="A32">
        <v>2.9624696289367072</v>
      </c>
      <c r="B32">
        <v>2.9707449424427779</v>
      </c>
      <c r="C32">
        <v>2.9707449424427779</v>
      </c>
      <c r="D32">
        <v>2.7743587555936009</v>
      </c>
      <c r="E32" s="1">
        <f t="shared" si="0"/>
        <v>12023.284782272305</v>
      </c>
    </row>
    <row r="33" spans="1:5">
      <c r="A33">
        <v>2.8461538243656719</v>
      </c>
      <c r="B33">
        <v>2.854195224414553</v>
      </c>
      <c r="C33">
        <v>2.854195224414553</v>
      </c>
      <c r="D33">
        <v>2.6634656665846541</v>
      </c>
      <c r="E33" s="1">
        <f t="shared" si="0"/>
        <v>11547.699276182193</v>
      </c>
    </row>
    <row r="34" spans="1:5">
      <c r="A34">
        <v>2.734504096050661</v>
      </c>
      <c r="B34">
        <v>2.7423177598320572</v>
      </c>
      <c r="C34">
        <v>2.7423177598320572</v>
      </c>
      <c r="D34">
        <v>2.55709184456822</v>
      </c>
      <c r="E34" s="1">
        <f t="shared" si="0"/>
        <v>11091.318854799905</v>
      </c>
    </row>
    <row r="35" spans="1:5">
      <c r="A35">
        <v>2.627325704989298</v>
      </c>
      <c r="B35">
        <v>2.634917653793698</v>
      </c>
      <c r="C35">
        <v>2.634917653793698</v>
      </c>
      <c r="D35">
        <v>2.4550463735369679</v>
      </c>
      <c r="E35" s="1">
        <f t="shared" si="0"/>
        <v>10653.337861649306</v>
      </c>
    </row>
    <row r="36" spans="1:5">
      <c r="A36">
        <v>2.5244326200728442</v>
      </c>
      <c r="B36">
        <v>2.5318087238511988</v>
      </c>
      <c r="C36">
        <v>2.5318087238511988</v>
      </c>
      <c r="D36">
        <v>2.357146930908991</v>
      </c>
      <c r="E36" s="1">
        <f t="shared" si="0"/>
        <v>10232.986767141421</v>
      </c>
    </row>
    <row r="37" spans="1:5">
      <c r="A37">
        <v>2.425647081152571</v>
      </c>
      <c r="B37">
        <v>2.4328130628412961</v>
      </c>
      <c r="C37">
        <v>2.4328130628412961</v>
      </c>
      <c r="D37">
        <v>2.2632193564627459</v>
      </c>
      <c r="E37" s="1">
        <f t="shared" si="0"/>
        <v>9829.5303560688553</v>
      </c>
    </row>
    <row r="38" spans="1:5">
      <c r="A38">
        <v>2.3307991894838742</v>
      </c>
      <c r="B38">
        <v>2.3377606291125992</v>
      </c>
      <c r="C38">
        <v>2.3377606291125992</v>
      </c>
      <c r="D38">
        <v>2.1730972480860422</v>
      </c>
      <c r="E38" s="1">
        <f t="shared" si="0"/>
        <v>9442.2660283100086</v>
      </c>
    </row>
    <row r="39" spans="1:5">
      <c r="A39">
        <v>2.239726522537282</v>
      </c>
      <c r="B39">
        <v>2.2464888611421072</v>
      </c>
      <c r="C39">
        <v>2.2464888611421072</v>
      </c>
      <c r="D39">
        <v>2.086621581426968</v>
      </c>
      <c r="E39" s="1">
        <f t="shared" si="0"/>
        <v>9070.5222003711788</v>
      </c>
    </row>
    <row r="40" spans="1:5">
      <c r="A40">
        <v>2.152273770963324</v>
      </c>
      <c r="B40">
        <v>2.158842314320661</v>
      </c>
      <c r="C40">
        <v>2.158842314320661</v>
      </c>
      <c r="D40">
        <v>2.0036403513030709</v>
      </c>
      <c r="E40" s="1">
        <f t="shared" si="0"/>
        <v>8713.6567986507835</v>
      </c>
    </row>
    <row r="41" spans="1:5">
      <c r="A41">
        <v>2.0682923959455048</v>
      </c>
      <c r="B41">
        <v>2.0746723181416851</v>
      </c>
      <c r="C41">
        <v>2.0746723181416851</v>
      </c>
      <c r="D41">
        <v>1.924008233148186</v>
      </c>
      <c r="E41" s="1">
        <f t="shared" si="0"/>
        <v>8371.0558371421248</v>
      </c>
    </row>
    <row r="42" spans="1:5">
      <c r="A42">
        <v>1.9876403054719991</v>
      </c>
      <c r="B42">
        <v>1.993836652320724</v>
      </c>
      <c r="C42">
        <v>1.993836652320724</v>
      </c>
      <c r="D42">
        <v>1.8475862630700179</v>
      </c>
      <c r="E42" s="1">
        <f t="shared" si="0"/>
        <v>8042.1320735183417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A5171-09C2-EF45-9A29-949687B747C9}">
  <dimension ref="A1:H42"/>
  <sheetViews>
    <sheetView zoomScale="223" workbookViewId="0">
      <selection activeCell="H6" sqref="H6"/>
    </sheetView>
  </sheetViews>
  <sheetFormatPr baseColWidth="10" defaultRowHeight="16"/>
  <cols>
    <col min="1" max="2" width="10.83203125" style="1"/>
    <col min="5" max="16384" width="10.83203125" style="1"/>
  </cols>
  <sheetData>
    <row r="1" spans="1:8">
      <c r="A1" s="5" t="s">
        <v>0</v>
      </c>
      <c r="B1" s="5" t="s">
        <v>1</v>
      </c>
      <c r="C1" t="s">
        <v>0</v>
      </c>
      <c r="D1" t="s">
        <v>1</v>
      </c>
      <c r="E1" s="2" t="s">
        <v>2</v>
      </c>
    </row>
    <row r="2" spans="1:8">
      <c r="A2" s="11" t="s">
        <v>5</v>
      </c>
      <c r="B2" s="11"/>
      <c r="C2" s="11" t="s">
        <v>6</v>
      </c>
      <c r="D2" s="11"/>
      <c r="G2" s="12" t="s">
        <v>9</v>
      </c>
      <c r="H2" s="12"/>
    </row>
    <row r="3" spans="1:8">
      <c r="A3">
        <v>58.146656087721077</v>
      </c>
      <c r="B3">
        <v>65.156266421994474</v>
      </c>
      <c r="C3" s="5">
        <v>58.895620000000001</v>
      </c>
      <c r="D3" s="5">
        <v>65.904780000000002</v>
      </c>
      <c r="E3" s="1">
        <f>(A3*0.6*$H$3 + B3*0.34*$H$3) + (A3*0.6*$H$4 + B3*0.34*$H$4)</f>
        <v>74739.273852848855</v>
      </c>
      <c r="G3" s="2" t="s">
        <v>7</v>
      </c>
      <c r="H3" s="2">
        <v>333.77</v>
      </c>
    </row>
    <row r="4" spans="1:8">
      <c r="A4">
        <v>30.558490037876751</v>
      </c>
      <c r="B4">
        <v>34.273157800133568</v>
      </c>
      <c r="C4" s="5">
        <v>30.95147</v>
      </c>
      <c r="D4" s="5">
        <v>34.665840000000003</v>
      </c>
      <c r="E4" s="1">
        <f t="shared" ref="E4:E42" si="0">(A4*0.6*$H$3 + B4*0.34*$H$3) + (A4*0.6*$H$4 + B4*0.34*$H$4)</f>
        <v>39292.334405222806</v>
      </c>
      <c r="G4" s="2" t="s">
        <v>8</v>
      </c>
      <c r="H4" s="2">
        <v>976.5</v>
      </c>
    </row>
    <row r="5" spans="1:8">
      <c r="A5">
        <v>19.194413925607819</v>
      </c>
      <c r="B5">
        <v>21.575994642339701</v>
      </c>
      <c r="C5" s="5">
        <v>19.441579999999998</v>
      </c>
      <c r="D5" s="5">
        <v>21.823039999999999</v>
      </c>
      <c r="E5" s="1">
        <f t="shared" si="0"/>
        <v>24701.847530589963</v>
      </c>
      <c r="G5" s="1" t="s">
        <v>21</v>
      </c>
      <c r="H5" s="1">
        <f>SUM(H3:H4)</f>
        <v>1310.27</v>
      </c>
    </row>
    <row r="6" spans="1:8">
      <c r="A6">
        <v>13.120960600817041</v>
      </c>
      <c r="B6">
        <v>14.80816587547114</v>
      </c>
      <c r="C6" s="5">
        <v>13.29055</v>
      </c>
      <c r="D6" s="5">
        <v>14.977790000000001</v>
      </c>
      <c r="E6" s="1">
        <f t="shared" si="0"/>
        <v>16912.117098421739</v>
      </c>
    </row>
    <row r="7" spans="1:8">
      <c r="A7">
        <v>9.7864666522641333</v>
      </c>
      <c r="B7">
        <v>11.10760578523421</v>
      </c>
      <c r="C7" s="5">
        <v>9.9137710000000006</v>
      </c>
      <c r="D7" s="5">
        <v>11.23509</v>
      </c>
      <c r="E7" s="1">
        <f t="shared" si="0"/>
        <v>12642.095491231676</v>
      </c>
    </row>
    <row r="8" spans="1:8">
      <c r="A8">
        <v>7.8870584239310277</v>
      </c>
      <c r="B8">
        <v>9.012155896673983</v>
      </c>
      <c r="C8" s="5">
        <v>7.9905299999999997</v>
      </c>
      <c r="D8" s="5">
        <v>9.1159309999999998</v>
      </c>
      <c r="E8" s="1">
        <f t="shared" si="0"/>
        <v>10215.347176964373</v>
      </c>
    </row>
    <row r="9" spans="1:8">
      <c r="A9">
        <v>6.7471666162830388</v>
      </c>
      <c r="B9">
        <v>7.7645307218044914</v>
      </c>
      <c r="C9" s="5">
        <v>6.8365390000000001</v>
      </c>
      <c r="D9" s="5">
        <v>7.8543260000000004</v>
      </c>
      <c r="E9" s="1">
        <f t="shared" si="0"/>
        <v>8763.4007688022884</v>
      </c>
    </row>
    <row r="10" spans="1:8">
      <c r="A10">
        <v>6.0138032314770804</v>
      </c>
      <c r="B10">
        <v>6.9692692980295021</v>
      </c>
      <c r="C10" s="5">
        <v>6.094258</v>
      </c>
      <c r="D10" s="5">
        <v>7.0502589999999996</v>
      </c>
      <c r="E10" s="1">
        <f t="shared" si="0"/>
        <v>7832.5759003283838</v>
      </c>
    </row>
    <row r="11" spans="1:8">
      <c r="A11">
        <v>5.5015077020431464</v>
      </c>
      <c r="B11">
        <v>6.4187636154887846</v>
      </c>
      <c r="C11" s="5">
        <v>5.5758369999999999</v>
      </c>
      <c r="D11" s="5">
        <v>6.4937329999999998</v>
      </c>
      <c r="E11" s="1">
        <f t="shared" si="0"/>
        <v>7184.58285489225</v>
      </c>
    </row>
    <row r="12" spans="1:8">
      <c r="A12">
        <v>5.112405543299535</v>
      </c>
      <c r="B12">
        <v>6.0035814362134046</v>
      </c>
      <c r="C12" s="5">
        <v>5.1821440000000001</v>
      </c>
      <c r="D12" s="5">
        <v>6.0740600000000002</v>
      </c>
      <c r="E12" s="1">
        <f t="shared" si="0"/>
        <v>6693.7252671967444</v>
      </c>
    </row>
    <row r="13" spans="1:8">
      <c r="A13">
        <v>4.7945967597234942</v>
      </c>
      <c r="B13">
        <v>5.6657998046713658</v>
      </c>
      <c r="C13" s="5">
        <v>4.860614</v>
      </c>
      <c r="D13" s="5">
        <v>5.7326499999999996</v>
      </c>
      <c r="E13" s="1">
        <f t="shared" si="0"/>
        <v>6293.3971312404365</v>
      </c>
    </row>
    <row r="14" spans="1:8">
      <c r="A14">
        <v>4.5203764418271293</v>
      </c>
      <c r="B14">
        <v>5.3745879768578666</v>
      </c>
      <c r="C14" s="5">
        <v>4.5831879999999998</v>
      </c>
      <c r="D14" s="5">
        <v>5.4383210000000002</v>
      </c>
      <c r="E14" s="1">
        <f t="shared" si="0"/>
        <v>5948.083056328469</v>
      </c>
    </row>
    <row r="15" spans="1:8">
      <c r="A15">
        <v>4.2747990914790526</v>
      </c>
      <c r="B15">
        <v>5.1133915653581186</v>
      </c>
      <c r="C15" s="5">
        <v>4.3347329999999999</v>
      </c>
      <c r="D15" s="5">
        <v>5.1743290000000002</v>
      </c>
      <c r="E15" s="1">
        <f t="shared" si="0"/>
        <v>5638.6586159115614</v>
      </c>
    </row>
    <row r="16" spans="1:8">
      <c r="A16">
        <v>4.0496625741597967</v>
      </c>
      <c r="B16">
        <v>4.873193216171515</v>
      </c>
      <c r="C16" s="5">
        <v>4.1069430000000002</v>
      </c>
      <c r="D16" s="5">
        <v>4.9315559999999996</v>
      </c>
      <c r="E16" s="1">
        <f t="shared" si="0"/>
        <v>5354.6584462466508</v>
      </c>
    </row>
    <row r="17" spans="1:5">
      <c r="A17">
        <v>3.8403391756717351</v>
      </c>
      <c r="B17">
        <v>4.648964363023012</v>
      </c>
      <c r="C17" s="5">
        <v>3.8951340000000001</v>
      </c>
      <c r="D17" s="5">
        <v>4.7049149999999997</v>
      </c>
      <c r="E17" s="1">
        <f t="shared" si="0"/>
        <v>5090.204229243418</v>
      </c>
    </row>
    <row r="18" spans="1:5">
      <c r="A18">
        <v>3.644104651600804</v>
      </c>
      <c r="B18">
        <v>4.4377953274855271</v>
      </c>
      <c r="C18" s="5">
        <v>3.6965509999999999</v>
      </c>
      <c r="D18" s="5">
        <v>4.491466</v>
      </c>
      <c r="E18" s="1">
        <f t="shared" si="0"/>
        <v>4841.8580295849079</v>
      </c>
    </row>
    <row r="19" spans="1:5">
      <c r="A19">
        <v>3.459256199822681</v>
      </c>
      <c r="B19">
        <v>4.237908975359109</v>
      </c>
      <c r="C19" s="5">
        <v>3.5094699999999999</v>
      </c>
      <c r="D19" s="5">
        <v>4.2894119999999996</v>
      </c>
      <c r="E19" s="1">
        <f t="shared" si="0"/>
        <v>4607.4894702338843</v>
      </c>
    </row>
    <row r="20" spans="1:5">
      <c r="A20">
        <v>3.2846462011204949</v>
      </c>
      <c r="B20">
        <v>4.0481398149300771</v>
      </c>
      <c r="C20" s="5">
        <v>3.3327330000000002</v>
      </c>
      <c r="D20" s="5">
        <v>4.097575</v>
      </c>
      <c r="E20" s="1">
        <f t="shared" si="0"/>
        <v>4385.6771195701576</v>
      </c>
    </row>
    <row r="21" spans="1:5">
      <c r="A21">
        <v>3.1194351963764291</v>
      </c>
      <c r="B21">
        <v>3.867658408929278</v>
      </c>
      <c r="C21" s="5">
        <v>3.1654909999999998</v>
      </c>
      <c r="D21" s="5">
        <v>3.9151189999999998</v>
      </c>
      <c r="E21" s="1">
        <f t="shared" si="0"/>
        <v>4175.3915192327258</v>
      </c>
    </row>
    <row r="22" spans="1:5">
      <c r="A22">
        <v>2.9629605379718811</v>
      </c>
      <c r="B22">
        <v>3.6958251484206621</v>
      </c>
      <c r="C22" s="5">
        <v>3.0070760000000001</v>
      </c>
      <c r="D22" s="5">
        <v>3.7413959999999999</v>
      </c>
      <c r="E22" s="1">
        <f t="shared" si="0"/>
        <v>3975.8267803082376</v>
      </c>
    </row>
    <row r="23" spans="1:5">
      <c r="A23">
        <v>2.8146661218275568</v>
      </c>
      <c r="B23">
        <v>3.5321122885504028</v>
      </c>
      <c r="C23" s="5">
        <v>2.8569249999999999</v>
      </c>
      <c r="D23" s="5">
        <v>3.5758749999999999</v>
      </c>
      <c r="E23" s="1">
        <f t="shared" si="0"/>
        <v>3786.3106088966342</v>
      </c>
    </row>
    <row r="24" spans="1:5">
      <c r="A24">
        <v>2.6740644107128819</v>
      </c>
      <c r="B24">
        <v>3.3760620394962242</v>
      </c>
      <c r="C24" s="5">
        <v>2.7145480000000002</v>
      </c>
      <c r="D24" s="5">
        <v>3.4180920000000001</v>
      </c>
      <c r="E24" s="1">
        <f t="shared" si="0"/>
        <v>3606.2557801417051</v>
      </c>
    </row>
    <row r="25" spans="1:5">
      <c r="A25">
        <v>2.54071556129764</v>
      </c>
      <c r="B25">
        <v>3.2272637303720249</v>
      </c>
      <c r="C25" s="5">
        <v>2.5794999999999999</v>
      </c>
      <c r="D25" s="5">
        <v>3.2676340000000001</v>
      </c>
      <c r="E25" s="1">
        <f t="shared" si="0"/>
        <v>3435.1335554190227</v>
      </c>
    </row>
    <row r="26" spans="1:5">
      <c r="A26">
        <v>2.4142156390396772</v>
      </c>
      <c r="B26">
        <v>3.0853410878346539</v>
      </c>
      <c r="C26" s="5">
        <v>2.4513729999999998</v>
      </c>
      <c r="D26" s="5">
        <v>3.1241210000000001</v>
      </c>
      <c r="E26" s="1">
        <f t="shared" si="0"/>
        <v>3272.4587500521288</v>
      </c>
    </row>
    <row r="27" spans="1:5">
      <c r="A27">
        <v>2.2941896871674459</v>
      </c>
      <c r="B27">
        <v>2.9499449011201708</v>
      </c>
      <c r="C27" s="5">
        <v>2.32979</v>
      </c>
      <c r="D27" s="5">
        <v>2.9872010000000002</v>
      </c>
      <c r="E27" s="1">
        <f t="shared" si="0"/>
        <v>3117.7810167437801</v>
      </c>
    </row>
    <row r="28" spans="1:5">
      <c r="A28">
        <v>2.1802874111840351</v>
      </c>
      <c r="B28">
        <v>2.8207485756585751</v>
      </c>
      <c r="C28" s="5">
        <v>2.2143959999999998</v>
      </c>
      <c r="D28" s="5">
        <v>2.8565429999999998</v>
      </c>
      <c r="E28" s="1">
        <f t="shared" si="0"/>
        <v>2970.6794720688385</v>
      </c>
    </row>
    <row r="29" spans="1:5">
      <c r="A29">
        <v>2.0721802931522859</v>
      </c>
      <c r="B29">
        <v>2.6974452538404372</v>
      </c>
      <c r="C29" s="5">
        <v>2.1048610000000001</v>
      </c>
      <c r="D29" s="5">
        <v>2.7318380000000002</v>
      </c>
      <c r="E29" s="1">
        <f t="shared" si="0"/>
        <v>2830.759145160021</v>
      </c>
    </row>
    <row r="30" spans="1:5">
      <c r="A30">
        <v>1.9695595058627999</v>
      </c>
      <c r="B30">
        <v>2.579745802249386</v>
      </c>
      <c r="C30" s="5">
        <v>2.0008729999999999</v>
      </c>
      <c r="D30" s="5">
        <v>2.6127940000000001</v>
      </c>
      <c r="E30" s="1">
        <f t="shared" si="0"/>
        <v>2697.6484412346335</v>
      </c>
    </row>
    <row r="31" spans="1:5">
      <c r="A31">
        <v>1.8721342906126159</v>
      </c>
      <c r="B31">
        <v>2.4673772923628312</v>
      </c>
      <c r="C31" s="5">
        <v>1.9021380000000001</v>
      </c>
      <c r="D31" s="5">
        <v>2.499136</v>
      </c>
      <c r="E31" s="1">
        <f t="shared" si="0"/>
        <v>2570.997189430439</v>
      </c>
    </row>
    <row r="32" spans="1:5">
      <c r="A32">
        <v>1.779630617643974</v>
      </c>
      <c r="B32">
        <v>2.3600817749081719</v>
      </c>
      <c r="C32" s="5">
        <v>1.808379</v>
      </c>
      <c r="D32" s="5">
        <v>2.390603</v>
      </c>
      <c r="E32" s="1">
        <f t="shared" si="0"/>
        <v>2450.4750436792583</v>
      </c>
    </row>
    <row r="33" spans="1:5">
      <c r="A33">
        <v>1.691790030564178</v>
      </c>
      <c r="B33">
        <v>2.2576152396698892</v>
      </c>
      <c r="C33" s="5">
        <v>1.7193369999999999</v>
      </c>
      <c r="D33" s="5">
        <v>2.2869489999999999</v>
      </c>
      <c r="E33" s="1">
        <f t="shared" si="0"/>
        <v>2335.7701108363653</v>
      </c>
    </row>
    <row r="34" spans="1:5">
      <c r="A34">
        <v>1.608368619777901</v>
      </c>
      <c r="B34">
        <v>2.159746701139738</v>
      </c>
      <c r="C34" s="5">
        <v>1.6347640000000001</v>
      </c>
      <c r="D34" s="5">
        <v>2.1879409999999999</v>
      </c>
      <c r="E34" s="1">
        <f t="shared" si="0"/>
        <v>2226.587736296638</v>
      </c>
    </row>
    <row r="35" spans="1:5">
      <c r="A35">
        <v>1.529136093329664</v>
      </c>
      <c r="B35">
        <v>2.066257376280817</v>
      </c>
      <c r="C35" s="5">
        <v>1.5544279999999999</v>
      </c>
      <c r="D35" s="5">
        <v>2.0933579999999998</v>
      </c>
      <c r="E35" s="1">
        <f t="shared" si="0"/>
        <v>2122.6494072268538</v>
      </c>
    </row>
    <row r="36" spans="1:5">
      <c r="A36">
        <v>1.453874926083226</v>
      </c>
      <c r="B36">
        <v>1.9769399345147789</v>
      </c>
      <c r="C36" s="5">
        <v>1.47811</v>
      </c>
      <c r="D36" s="5">
        <v>2.0029910000000002</v>
      </c>
      <c r="E36" s="1">
        <f t="shared" si="0"/>
        <v>2023.6917495583125</v>
      </c>
    </row>
    <row r="37" spans="1:5">
      <c r="A37">
        <v>1.3823795750381009</v>
      </c>
      <c r="B37">
        <v>1.891597807565224</v>
      </c>
      <c r="C37" s="5">
        <v>1.405602</v>
      </c>
      <c r="D37" s="5">
        <v>1.916641</v>
      </c>
      <c r="E37" s="1">
        <f t="shared" si="0"/>
        <v>1929.4656036393887</v>
      </c>
    </row>
    <row r="38" spans="1:5">
      <c r="A38">
        <v>1.3144557523773841</v>
      </c>
      <c r="B38">
        <v>1.8100445508965251</v>
      </c>
      <c r="C38" s="5">
        <v>1.336708</v>
      </c>
      <c r="D38" s="5">
        <v>1.83412</v>
      </c>
      <c r="E38" s="1">
        <f t="shared" si="0"/>
        <v>1839.7351682595936</v>
      </c>
    </row>
    <row r="39" spans="1:5">
      <c r="A39">
        <v>1.249919750030476</v>
      </c>
      <c r="B39">
        <v>1.7321032508334799</v>
      </c>
      <c r="C39" s="5">
        <v>1.271242</v>
      </c>
      <c r="D39" s="5">
        <v>1.7552490000000001</v>
      </c>
      <c r="E39" s="1">
        <f t="shared" si="0"/>
        <v>1754.2772055231176</v>
      </c>
    </row>
    <row r="40" spans="1:5">
      <c r="A40">
        <v>1.188597810848175</v>
      </c>
      <c r="B40">
        <v>1.6576059728046699</v>
      </c>
      <c r="C40" s="5">
        <v>1.209028</v>
      </c>
      <c r="D40" s="5">
        <v>1.679859</v>
      </c>
      <c r="E40" s="1">
        <f t="shared" si="0"/>
        <v>1672.8803006875264</v>
      </c>
    </row>
    <row r="41" spans="1:5">
      <c r="A41">
        <v>1.130325542318104</v>
      </c>
      <c r="B41">
        <v>1.586393247005778</v>
      </c>
      <c r="C41" s="5">
        <v>1.149902</v>
      </c>
      <c r="D41" s="5">
        <v>1.6077889999999999</v>
      </c>
      <c r="E41" s="1">
        <f t="shared" si="0"/>
        <v>1595.344172116334</v>
      </c>
    </row>
    <row r="42" spans="1:5">
      <c r="A42">
        <v>1.074947369325457</v>
      </c>
      <c r="B42">
        <v>1.518313588338122</v>
      </c>
      <c r="C42" s="5">
        <v>1.0937049999999999</v>
      </c>
      <c r="D42" s="5">
        <v>1.538886</v>
      </c>
      <c r="E42" s="1">
        <f t="shared" si="0"/>
        <v>1521.4790271968491</v>
      </c>
    </row>
  </sheetData>
  <mergeCells count="3">
    <mergeCell ref="A2:B2"/>
    <mergeCell ref="C2:D2"/>
    <mergeCell ref="G2:H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DF0E0-E6D0-CC4C-B19B-7767FC3863D6}">
  <dimension ref="A1:G42"/>
  <sheetViews>
    <sheetView zoomScale="252" workbookViewId="0">
      <selection activeCell="C7" sqref="C7"/>
    </sheetView>
  </sheetViews>
  <sheetFormatPr baseColWidth="10" defaultRowHeight="16"/>
  <cols>
    <col min="1" max="2" width="8.83203125"/>
    <col min="3" max="3" width="11.5" style="1" bestFit="1" customWidth="1"/>
    <col min="4" max="6" width="10.83203125" style="1"/>
    <col min="7" max="7" width="11" style="1" bestFit="1" customWidth="1"/>
    <col min="8" max="16384" width="10.83203125" style="1"/>
  </cols>
  <sheetData>
    <row r="1" spans="1:7">
      <c r="A1" s="10" t="s">
        <v>10</v>
      </c>
      <c r="B1" s="10" t="s">
        <v>11</v>
      </c>
      <c r="C1" s="2" t="s">
        <v>2</v>
      </c>
    </row>
    <row r="2" spans="1:7">
      <c r="G2" s="1" t="s">
        <v>9</v>
      </c>
    </row>
    <row r="3" spans="1:7">
      <c r="A3">
        <v>48.059098509689932</v>
      </c>
      <c r="B3">
        <v>38.431023274028099</v>
      </c>
      <c r="C3" s="1">
        <f>A3*0.57*$G$3 + B3*0.3*$G$3</f>
        <v>597779.32853249332</v>
      </c>
      <c r="G3" s="3">
        <v>15358</v>
      </c>
    </row>
    <row r="4" spans="1:7">
      <c r="A4">
        <v>25.221999788748558</v>
      </c>
      <c r="B4">
        <v>20.14499321580071</v>
      </c>
      <c r="C4" s="1">
        <f t="shared" ref="C4:C42" si="0">A4*0.57*$G$3 + B4*0.3*$G$3</f>
        <v>313610.94121317239</v>
      </c>
    </row>
    <row r="5" spans="1:7">
      <c r="A5">
        <v>15.78898713135645</v>
      </c>
      <c r="B5">
        <v>12.573226699392199</v>
      </c>
      <c r="C5" s="1">
        <f t="shared" si="0"/>
        <v>196147.62538190183</v>
      </c>
    </row>
    <row r="6" spans="1:7">
      <c r="A6">
        <v>10.728340879706691</v>
      </c>
      <c r="B6">
        <v>8.4978646530386523</v>
      </c>
      <c r="C6" s="1">
        <f t="shared" si="0"/>
        <v>133069.60136381543</v>
      </c>
    </row>
    <row r="7" spans="1:7">
      <c r="A7">
        <v>7.9341295012498323</v>
      </c>
      <c r="B7">
        <v>6.2371289783650399</v>
      </c>
      <c r="C7" s="1">
        <f t="shared" si="0"/>
        <v>98192.79375663017</v>
      </c>
    </row>
    <row r="8" spans="1:7">
      <c r="A8">
        <v>6.3298225299439492</v>
      </c>
      <c r="B8">
        <v>4.930959437331623</v>
      </c>
      <c r="C8" s="1">
        <f t="shared" si="0"/>
        <v>78130.548728042835</v>
      </c>
    </row>
    <row r="9" spans="1:7">
      <c r="A9">
        <v>5.3572721474604492</v>
      </c>
      <c r="B9">
        <v>4.1331386222651219</v>
      </c>
      <c r="C9" s="1">
        <f t="shared" si="0"/>
        <v>65940.90470342194</v>
      </c>
    </row>
    <row r="10" spans="1:7">
      <c r="A10">
        <v>4.7245623132699954</v>
      </c>
      <c r="B10">
        <v>3.610061047828486</v>
      </c>
      <c r="C10" s="1">
        <f t="shared" si="0"/>
        <v>57992.097235869296</v>
      </c>
    </row>
    <row r="11" spans="1:7">
      <c r="A11">
        <v>4.2781072986980133</v>
      </c>
      <c r="B11">
        <v>3.238644650211024</v>
      </c>
      <c r="C11" s="1">
        <f t="shared" si="0"/>
        <v>52372.539340622599</v>
      </c>
    </row>
    <row r="12" spans="1:7">
      <c r="A12">
        <v>3.9366875494407099</v>
      </c>
      <c r="B12">
        <v>2.9536622394153418</v>
      </c>
      <c r="C12" s="1">
        <f t="shared" si="0"/>
        <v>48070.702410939179</v>
      </c>
    </row>
    <row r="13" spans="1:7">
      <c r="A13">
        <v>3.6570981769999609</v>
      </c>
      <c r="B13">
        <v>2.7203019325358659</v>
      </c>
      <c r="C13" s="1">
        <f t="shared" si="0"/>
        <v>44547.975991314022</v>
      </c>
    </row>
    <row r="14" spans="1:7">
      <c r="A14">
        <v>3.4161599655368868</v>
      </c>
      <c r="B14">
        <v>2.5197905237860279</v>
      </c>
      <c r="C14" s="1">
        <f t="shared" si="0"/>
        <v>41514.952167199575</v>
      </c>
    </row>
    <row r="15" spans="1:7">
      <c r="A15">
        <v>3.2012683212779409</v>
      </c>
      <c r="B15">
        <v>2.341836020300514</v>
      </c>
      <c r="C15" s="1">
        <f t="shared" si="0"/>
        <v>38813.87024049896</v>
      </c>
    </row>
    <row r="16" spans="1:7">
      <c r="A16">
        <v>3.0054179864032502</v>
      </c>
      <c r="B16">
        <v>2.1806466316035702</v>
      </c>
      <c r="C16" s="1">
        <f t="shared" si="0"/>
        <v>36356.72066850352</v>
      </c>
    </row>
    <row r="17" spans="1:3">
      <c r="A17">
        <v>2.8245803034647992</v>
      </c>
      <c r="B17">
        <v>2.0328305660258601</v>
      </c>
      <c r="C17" s="1">
        <f t="shared" si="0"/>
        <v>34092.609001256606</v>
      </c>
    </row>
    <row r="18" spans="1:3">
      <c r="A18">
        <v>2.6563189792407509</v>
      </c>
      <c r="B18">
        <v>1.89628650360037</v>
      </c>
      <c r="C18" s="1">
        <f t="shared" si="0"/>
        <v>31990.526160100631</v>
      </c>
    </row>
    <row r="19" spans="1:3">
      <c r="A19">
        <v>2.499058506863757</v>
      </c>
      <c r="B19">
        <v>1.7696164258786671</v>
      </c>
      <c r="C19" s="1">
        <f t="shared" si="0"/>
        <v>30030.238833189109</v>
      </c>
    </row>
    <row r="20" spans="1:3">
      <c r="A20">
        <v>2.3516967708091219</v>
      </c>
      <c r="B20">
        <v>1.651814085065785</v>
      </c>
      <c r="C20" s="1">
        <f t="shared" si="0"/>
        <v>28197.462849001397</v>
      </c>
    </row>
    <row r="21" spans="1:3">
      <c r="A21">
        <v>2.2133992764133841</v>
      </c>
      <c r="B21">
        <v>1.542099032990204</v>
      </c>
      <c r="C21" s="1">
        <f t="shared" si="0"/>
        <v>26481.297154278414</v>
      </c>
    </row>
    <row r="22" spans="1:3">
      <c r="A22">
        <v>2.083489294022693</v>
      </c>
      <c r="B22">
        <v>1.4398275891124019</v>
      </c>
      <c r="C22" s="1">
        <f t="shared" si="0"/>
        <v>24872.851923308772</v>
      </c>
    </row>
    <row r="23" spans="1:3">
      <c r="A23">
        <v>1.9613887079143619</v>
      </c>
      <c r="B23">
        <v>1.3444445321075069</v>
      </c>
      <c r="C23" s="1">
        <f t="shared" si="0"/>
        <v>23364.508169636923</v>
      </c>
    </row>
    <row r="24" spans="1:3">
      <c r="A24">
        <v>1.846585713566929</v>
      </c>
      <c r="B24">
        <v>1.255456393421587</v>
      </c>
      <c r="C24" s="1">
        <f t="shared" si="0"/>
        <v>21949.51191875833</v>
      </c>
    </row>
    <row r="25" spans="1:3">
      <c r="A25">
        <v>1.7386167689406311</v>
      </c>
      <c r="B25">
        <v>1.1724162511190459</v>
      </c>
      <c r="C25" s="1">
        <f t="shared" si="0"/>
        <v>20621.74614771831</v>
      </c>
    </row>
    <row r="26" spans="1:3">
      <c r="A26">
        <v>1.6370561467960321</v>
      </c>
      <c r="B26">
        <v>1.0949146832307739</v>
      </c>
      <c r="C26" s="1">
        <f t="shared" si="0"/>
        <v>19375.597643938738</v>
      </c>
    </row>
    <row r="27" spans="1:3">
      <c r="A27">
        <v>1.5415095703024051</v>
      </c>
      <c r="B27">
        <v>1.0225740533900309</v>
      </c>
      <c r="C27" s="1">
        <f t="shared" si="0"/>
        <v>18205.8749625907</v>
      </c>
    </row>
    <row r="28" spans="1:3">
      <c r="A28">
        <v>1.45161006913393</v>
      </c>
      <c r="B28">
        <v>0.95504462912536781</v>
      </c>
      <c r="C28" s="1">
        <f t="shared" si="0"/>
        <v>17107.75426603479</v>
      </c>
    </row>
    <row r="29" spans="1:3">
      <c r="A29">
        <v>1.367015067193909</v>
      </c>
      <c r="B29">
        <v>0.8920017347030722</v>
      </c>
      <c r="C29" s="1">
        <f t="shared" si="0"/>
        <v>16076.740711590444</v>
      </c>
    </row>
    <row r="30" spans="1:3">
      <c r="A30">
        <v>1.2874041748709339</v>
      </c>
      <c r="B30">
        <v>0.83314351138418397</v>
      </c>
      <c r="C30" s="1">
        <f t="shared" si="0"/>
        <v>15108.638805422137</v>
      </c>
    </row>
    <row r="31" spans="1:3">
      <c r="A31">
        <v>1.2124774029692511</v>
      </c>
      <c r="B31">
        <v>0.77818905439428454</v>
      </c>
      <c r="C31" s="1">
        <f t="shared" si="0"/>
        <v>14199.528183453229</v>
      </c>
    </row>
    <row r="32" spans="1:3">
      <c r="A32">
        <v>1.1419536447965679</v>
      </c>
      <c r="B32">
        <v>0.72687680010682243</v>
      </c>
      <c r="C32" s="1">
        <f t="shared" si="0"/>
        <v>13345.742892580016</v>
      </c>
    </row>
    <row r="33" spans="1:3">
      <c r="A33">
        <v>1.0755693415977321</v>
      </c>
      <c r="B33">
        <v>0.67896309240562402</v>
      </c>
      <c r="C33" s="1">
        <f t="shared" si="0"/>
        <v>12543.853102456715</v>
      </c>
    </row>
    <row r="34" spans="1:3">
      <c r="A34">
        <v>1.013077283123782</v>
      </c>
      <c r="B34">
        <v>0.63422088687385758</v>
      </c>
      <c r="C34" s="1">
        <f t="shared" si="0"/>
        <v>11790.648635285186</v>
      </c>
    </row>
    <row r="35" spans="1:3">
      <c r="A35">
        <v>0.95424551477799469</v>
      </c>
      <c r="B35">
        <v>0.59243856748534063</v>
      </c>
      <c r="C35" s="1">
        <f t="shared" si="0"/>
        <v>11083.123946929411</v>
      </c>
    </row>
    <row r="36" spans="1:3">
      <c r="A36">
        <v>0.89885633345573979</v>
      </c>
      <c r="B36">
        <v>0.55341885925027157</v>
      </c>
      <c r="C36" s="1">
        <f t="shared" si="0"/>
        <v>10418.464326561254</v>
      </c>
    </row>
    <row r="37" spans="1:3">
      <c r="A37">
        <v>0.84670536005723329</v>
      </c>
      <c r="B37">
        <v>0.51697782518475321</v>
      </c>
      <c r="C37" s="1">
        <f t="shared" si="0"/>
        <v>9794.0331560188533</v>
      </c>
    </row>
    <row r="38" spans="1:3">
      <c r="A38">
        <v>0.79760068001032403</v>
      </c>
      <c r="B38">
        <v>0.48294393882614872</v>
      </c>
      <c r="C38" s="1">
        <f t="shared" si="0"/>
        <v>9207.3601125987734</v>
      </c>
    </row>
    <row r="39" spans="1:3">
      <c r="A39">
        <v>0.75136204509810511</v>
      </c>
      <c r="B39">
        <v>0.4511572252546851</v>
      </c>
      <c r="C39" s="1">
        <f t="shared" si="0"/>
        <v>8656.1302241499543</v>
      </c>
    </row>
    <row r="40" spans="1:3">
      <c r="A40">
        <v>0.70782013111029352</v>
      </c>
      <c r="B40">
        <v>0.42146846469768678</v>
      </c>
      <c r="C40" s="1">
        <f t="shared" si="0"/>
        <v>8138.1737011954974</v>
      </c>
    </row>
    <row r="41" spans="1:3">
      <c r="A41">
        <v>0.66681584666605198</v>
      </c>
      <c r="B41">
        <v>0.39373845357889548</v>
      </c>
      <c r="C41" s="1">
        <f t="shared" si="0"/>
        <v>7651.4564816848215</v>
      </c>
    </row>
    <row r="42" spans="1:3">
      <c r="A42">
        <v>0.6281996891142233</v>
      </c>
      <c r="B42">
        <v>0.36783731845116557</v>
      </c>
      <c r="C42" s="1">
        <f t="shared" si="0"/>
        <v>7194.0714315191581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FD4D8-5019-BD44-95E6-DECAB01CDB7E}">
  <dimension ref="A1:F42"/>
  <sheetViews>
    <sheetView topLeftCell="A26" zoomScale="186" workbookViewId="0">
      <selection activeCell="C5" sqref="C5"/>
    </sheetView>
  </sheetViews>
  <sheetFormatPr baseColWidth="10" defaultRowHeight="16"/>
  <cols>
    <col min="1" max="1" width="8.83203125"/>
    <col min="2" max="2" width="11.5" style="1" bestFit="1" customWidth="1"/>
    <col min="3" max="5" width="10.83203125" style="1"/>
    <col min="6" max="6" width="11" style="1" bestFit="1" customWidth="1"/>
    <col min="7" max="16384" width="10.83203125" style="1"/>
  </cols>
  <sheetData>
    <row r="1" spans="1:6">
      <c r="A1" s="10" t="s">
        <v>10</v>
      </c>
      <c r="B1" s="2" t="s">
        <v>2</v>
      </c>
    </row>
    <row r="2" spans="1:6">
      <c r="F2" s="1" t="s">
        <v>9</v>
      </c>
    </row>
    <row r="3" spans="1:6">
      <c r="A3">
        <v>46.071402082960411</v>
      </c>
      <c r="B3" s="1">
        <f>A3*0.8645*$F$3</f>
        <v>385462.42088076117</v>
      </c>
      <c r="F3" s="3">
        <v>9678</v>
      </c>
    </row>
    <row r="4" spans="1:6">
      <c r="A4">
        <v>24.172787027358272</v>
      </c>
      <c r="B4" s="1">
        <f t="shared" ref="B4:B42" si="0">A4*0.8645*$F$3</f>
        <v>202244.78929949357</v>
      </c>
    </row>
    <row r="5" spans="1:6">
      <c r="A5">
        <v>15.122815868145191</v>
      </c>
      <c r="B5" s="1">
        <f t="shared" si="0"/>
        <v>126527.02004971547</v>
      </c>
    </row>
    <row r="6" spans="1:6">
      <c r="A6">
        <v>10.264354198594329</v>
      </c>
      <c r="B6" s="1">
        <f t="shared" si="0"/>
        <v>85878.064032939481</v>
      </c>
    </row>
    <row r="7" spans="1:6">
      <c r="A7">
        <v>7.5791165682956461</v>
      </c>
      <c r="B7" s="1">
        <f t="shared" si="0"/>
        <v>63411.671632915975</v>
      </c>
    </row>
    <row r="8" spans="1:6">
      <c r="A8">
        <v>6.0352939265692376</v>
      </c>
      <c r="B8" s="1">
        <f t="shared" si="0"/>
        <v>50495.07726014591</v>
      </c>
    </row>
    <row r="9" spans="1:6">
      <c r="A9">
        <v>5.0978538727292033</v>
      </c>
      <c r="B9" s="1">
        <f t="shared" si="0"/>
        <v>42651.862245046214</v>
      </c>
    </row>
    <row r="10" spans="1:6">
      <c r="A10">
        <v>4.486915831213115</v>
      </c>
      <c r="B10" s="1">
        <f t="shared" si="0"/>
        <v>37540.369087818421</v>
      </c>
    </row>
    <row r="11" spans="1:6">
      <c r="A11">
        <v>4.0551852114280109</v>
      </c>
      <c r="B11" s="1">
        <f t="shared" si="0"/>
        <v>33928.238300675148</v>
      </c>
    </row>
    <row r="12" spans="1:6">
      <c r="A12">
        <v>3.7247369652997548</v>
      </c>
      <c r="B12" s="1">
        <f t="shared" si="0"/>
        <v>31163.499760722858</v>
      </c>
    </row>
    <row r="13" spans="1:6">
      <c r="A13">
        <v>3.454092110506068</v>
      </c>
      <c r="B13" s="1">
        <f t="shared" si="0"/>
        <v>28899.114128615496</v>
      </c>
    </row>
    <row r="14" spans="1:6">
      <c r="A14">
        <v>3.220974811625434</v>
      </c>
      <c r="B14" s="1">
        <f t="shared" si="0"/>
        <v>26948.707709164519</v>
      </c>
    </row>
    <row r="15" spans="1:6">
      <c r="A15">
        <v>3.0132522709399492</v>
      </c>
      <c r="B15" s="1">
        <f t="shared" si="0"/>
        <v>25210.769860866581</v>
      </c>
    </row>
    <row r="16" spans="1:6">
      <c r="A16">
        <v>2.8241646317261062</v>
      </c>
      <c r="B16" s="1">
        <f t="shared" si="0"/>
        <v>23628.743356903222</v>
      </c>
    </row>
    <row r="17" spans="1:2">
      <c r="A17">
        <v>2.6498100298971732</v>
      </c>
      <c r="B17" s="1">
        <f t="shared" si="0"/>
        <v>22169.982740248615</v>
      </c>
    </row>
    <row r="18" spans="1:2">
      <c r="A18">
        <v>2.4878169964452699</v>
      </c>
      <c r="B18" s="1">
        <f t="shared" si="0"/>
        <v>20814.646804785887</v>
      </c>
    </row>
    <row r="19" spans="1:2">
      <c r="A19">
        <v>2.3366426360088699</v>
      </c>
      <c r="B19" s="1">
        <f t="shared" si="0"/>
        <v>19549.826714353527</v>
      </c>
    </row>
    <row r="20" spans="1:2">
      <c r="A20">
        <v>2.1952008532534442</v>
      </c>
      <c r="B20" s="1">
        <f t="shared" si="0"/>
        <v>18366.435510056719</v>
      </c>
    </row>
    <row r="21" spans="1:2">
      <c r="A21">
        <v>2.062664769834166</v>
      </c>
      <c r="B21" s="1">
        <f t="shared" si="0"/>
        <v>17257.555005902399</v>
      </c>
    </row>
    <row r="22" spans="1:2">
      <c r="A22">
        <v>1.938361146432124</v>
      </c>
      <c r="B22" s="1">
        <f t="shared" si="0"/>
        <v>16217.552456934549</v>
      </c>
    </row>
    <row r="23" spans="1:2">
      <c r="A23">
        <v>1.821713454203173</v>
      </c>
      <c r="B23" s="1">
        <f t="shared" si="0"/>
        <v>15241.604259053349</v>
      </c>
    </row>
    <row r="24" spans="1:2">
      <c r="A24">
        <v>1.7122107148664301</v>
      </c>
      <c r="B24" s="1">
        <f t="shared" si="0"/>
        <v>14325.435245533636</v>
      </c>
    </row>
    <row r="25" spans="1:2">
      <c r="A25">
        <v>1.6093900284989879</v>
      </c>
      <c r="B25" s="1">
        <f t="shared" si="0"/>
        <v>13465.172503530517</v>
      </c>
    </row>
    <row r="26" spans="1:2">
      <c r="A26">
        <v>1.51282640620208</v>
      </c>
      <c r="B26" s="1">
        <f t="shared" si="0"/>
        <v>12657.260307748915</v>
      </c>
    </row>
    <row r="27" spans="1:2">
      <c r="A27">
        <v>1.422126531973281</v>
      </c>
      <c r="B27" s="1">
        <f t="shared" si="0"/>
        <v>11898.407928330145</v>
      </c>
    </row>
    <row r="28" spans="1:2">
      <c r="A28">
        <v>1.33692466566617</v>
      </c>
      <c r="B28" s="1">
        <f t="shared" si="0"/>
        <v>11185.555352427215</v>
      </c>
    </row>
    <row r="29" spans="1:2">
      <c r="A29">
        <v>1.25687973737583</v>
      </c>
      <c r="B29" s="1">
        <f t="shared" si="0"/>
        <v>10515.848974000479</v>
      </c>
    </row>
    <row r="30" spans="1:2">
      <c r="A30">
        <v>1.1816731266792999</v>
      </c>
      <c r="B30" s="1">
        <f t="shared" si="0"/>
        <v>9886.6230135419592</v>
      </c>
    </row>
    <row r="31" spans="1:2">
      <c r="A31">
        <v>1.111006854568193</v>
      </c>
      <c r="B31" s="1">
        <f t="shared" si="0"/>
        <v>9295.3843906427355</v>
      </c>
    </row>
    <row r="32" spans="1:2">
      <c r="A32">
        <v>1.0446020400893259</v>
      </c>
      <c r="B32" s="1">
        <f t="shared" si="0"/>
        <v>8739.7998112745972</v>
      </c>
    </row>
    <row r="33" spans="1:2">
      <c r="A33">
        <v>0.9821975396971302</v>
      </c>
      <c r="B33" s="1">
        <f t="shared" si="0"/>
        <v>8217.6843837537417</v>
      </c>
    </row>
    <row r="34" spans="1:2">
      <c r="A34">
        <v>0.92354872250182518</v>
      </c>
      <c r="B34" s="1">
        <f t="shared" si="0"/>
        <v>7726.9913716941683</v>
      </c>
    </row>
    <row r="35" spans="1:2">
      <c r="A35">
        <v>0.86842635350771502</v>
      </c>
      <c r="B35" s="1">
        <f t="shared" si="0"/>
        <v>7265.802850474608</v>
      </c>
    </row>
    <row r="36" spans="1:2">
      <c r="A36">
        <v>0.81661556722526052</v>
      </c>
      <c r="B36" s="1">
        <f t="shared" si="0"/>
        <v>6832.3211198294493</v>
      </c>
    </row>
    <row r="37" spans="1:2">
      <c r="A37">
        <v>0.76791491970848824</v>
      </c>
      <c r="B37" s="1">
        <f t="shared" si="0"/>
        <v>6424.860772595549</v>
      </c>
    </row>
    <row r="38" spans="1:2">
      <c r="A38">
        <v>0.72213551032606915</v>
      </c>
      <c r="B38" s="1">
        <f t="shared" si="0"/>
        <v>6041.8413468949102</v>
      </c>
    </row>
    <row r="39" spans="1:2">
      <c r="A39">
        <v>0.67910016648414739</v>
      </c>
      <c r="B39" s="1">
        <f t="shared" si="0"/>
        <v>5681.7805050114284</v>
      </c>
    </row>
    <row r="40" spans="1:2">
      <c r="A40">
        <v>0.63864268572964511</v>
      </c>
      <c r="B40" s="1">
        <f t="shared" si="0"/>
        <v>5343.2876923489066</v>
      </c>
    </row>
    <row r="41" spans="1:2">
      <c r="A41">
        <v>0.60060713047432535</v>
      </c>
      <c r="B41" s="1">
        <f t="shared" si="0"/>
        <v>5025.0582366475355</v>
      </c>
    </row>
    <row r="42" spans="1:2">
      <c r="A42">
        <v>0.5648471711466575</v>
      </c>
      <c r="B42" s="1">
        <f t="shared" si="0"/>
        <v>4725.8678523779299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Net_Summary</vt:lpstr>
      <vt:lpstr>Summary_Removals</vt:lpstr>
      <vt:lpstr>Summary_Reductions</vt:lpstr>
      <vt:lpstr>Additional_Coop_Projections</vt:lpstr>
      <vt:lpstr>Eor</vt:lpstr>
      <vt:lpstr>Lanyuak</vt:lpstr>
      <vt:lpstr>Mumberes</vt:lpstr>
      <vt:lpstr>Kabianga</vt:lpstr>
      <vt:lpstr>Kipsigis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Bendre, Mihir Y</dc:creator>
  <cp:lastModifiedBy>Bendre, Mihir Y</cp:lastModifiedBy>
  <dcterms:created xsi:type="dcterms:W3CDTF">2026-03-10T21:10:11Z</dcterms:created>
  <dcterms:modified xsi:type="dcterms:W3CDTF">2026-03-31T11:22:04Z</dcterms:modified>
</cp:coreProperties>
</file>